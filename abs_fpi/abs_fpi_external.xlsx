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Global Parameter" sheetId="2" state="visible" r:id="rId2"/>
    <sheet name="Local Parameter" sheetId="3" state="visible" r:id="rId3"/>
    <sheet name="Code" sheetId="4" state="visible" r:id="rId4"/>
    <sheet name="Summary" sheetId="5" state="visible" r:id="rId5"/>
    <sheet name="Template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1F3864"/>
      <sz val="14"/>
    </font>
    <font>
      <color rgb="00606060"/>
      <sz val="9"/>
    </font>
    <font>
      <b val="1"/>
      <color rgb="001F3864"/>
      <sz val="11"/>
    </font>
    <font>
      <name val="Consolas"/>
      <sz val="10"/>
    </font>
    <font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  <xf numFmtId="0" fontId="0" fillId="4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1" fillId="3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4" t="inlineStr">
        <is>
          <t>abs_fpi_external.xlsx —— 参数填写与代码生成说明</t>
        </is>
      </c>
    </row>
    <row r="2">
      <c r="A2" s="65" t="inlineStr"/>
    </row>
    <row r="3">
      <c r="A3" s="66" t="inlineStr">
        <is>
          <t>这个工作簿怎么用</t>
        </is>
      </c>
    </row>
    <row r="4">
      <c r="A4" s="65" t="inlineStr">
        <is>
          <t xml:space="preserve">  1.  Global Parameter 的 B 列：全局变量取值（所有 Case 共用）。</t>
        </is>
      </c>
    </row>
    <row r="5">
      <c r="A5" s="65" t="inlineStr">
        <is>
          <t xml:space="preserve">  2.  Local Parameter 从 E 列起：每个 Case 一列，右拉复制即可增加。</t>
        </is>
      </c>
    </row>
    <row r="6">
      <c r="A6" s="65" t="inlineStr">
        <is>
          <t xml:space="preserve">  3.  改完参数后回到命令行执行：</t>
        </is>
      </c>
    </row>
    <row r="7">
      <c r="A7" s="67" t="inlineStr">
        <is>
          <t xml:space="preserve">          excel-codegen render -c &lt;配置&gt;.yaml -x abs_fpi_external.xlsx --write-excel</t>
        </is>
      </c>
    </row>
    <row r="8">
      <c r="A8" s="65" t="inlineStr">
        <is>
          <t xml:space="preserve">      只想导出代码文件就换成 --outdir &lt;目录&gt;；只预览不写回则什么参数都不加。</t>
        </is>
      </c>
    </row>
    <row r="9">
      <c r="A9" s="65" t="inlineStr">
        <is>
          <t xml:space="preserve">      想确认表里的代码是不是已经过期：excel-codegen check -c &lt;配置&gt;.yaml</t>
        </is>
      </c>
    </row>
    <row r="10">
      <c r="A10" s="65" t="inlineStr"/>
    </row>
    <row r="11">
      <c r="A11" s="66" t="inlineStr">
        <is>
          <t>★  部分输出表是公式（engine: excel）：改参数后 Excel 打开即重算，不用跑脚本</t>
        </is>
      </c>
    </row>
    <row r="12">
      <c r="A12" s="65" t="inlineStr">
        <is>
          <t xml:space="preserve">   公式支持占位符替换与行内分支（{% if %}）；要生成代码文件（--outdir）或做 CI 检查（check）仍需命令行。</t>
        </is>
      </c>
    </row>
    <row r="13">
      <c r="A13" s="65" t="inlineStr">
        <is>
          <t xml:space="preserve">   不带 --write-excel 的 render 只预览，不会改变本文件。</t>
        </is>
      </c>
    </row>
    <row r="14">
      <c r="A14" s="65" t="inlineStr"/>
    </row>
    <row r="15">
      <c r="A15" s="66" t="inlineStr">
        <is>
          <t>输出位置</t>
        </is>
      </c>
    </row>
    <row r="16">
      <c r="A16" s="68" t="inlineStr">
        <is>
          <t xml:space="preserve">  genie_ext: Code @ B2 (horizontal)［公式·自动重算］</t>
        </is>
      </c>
    </row>
    <row r="17">
      <c r="A17" s="68" t="inlineStr">
        <is>
          <t xml:space="preserve">  ext_summary: Summary @ B2 (vertical)［公式·自动重算］</t>
        </is>
      </c>
    </row>
    <row r="18">
      <c r="A18" s="65" t="inlineStr">
        <is>
          <t xml:space="preserve">  Template（隐藏）：模板原文，只读参考，改它不影响渲染结果。</t>
        </is>
      </c>
    </row>
    <row r="19">
      <c r="A19" s="65" t="inlineStr"/>
    </row>
    <row r="20">
      <c r="A20" s="66" t="inlineStr">
        <is>
          <t>本次生成</t>
        </is>
      </c>
    </row>
    <row r="21">
      <c r="A21" s="65" t="inlineStr">
        <is>
          <t xml:space="preserve">  时间        2026-09-27 16:02:21</t>
        </is>
      </c>
    </row>
    <row r="22">
      <c r="A22" s="65" t="inlineStr">
        <is>
          <t xml:space="preserve">  输出指纹      6da152cd11b8</t>
        </is>
      </c>
    </row>
    <row r="23">
      <c r="A23" s="65" t="inlineStr">
        <is>
          <t xml:space="preserve">  参数指纹      4e2df5a42a76</t>
        </is>
      </c>
    </row>
    <row r="24">
      <c r="A24" s="65" t="inlineStr">
        <is>
          <t xml:space="preserve">  case 数    3</t>
        </is>
      </c>
    </row>
    <row r="25">
      <c r="A25" s="65" t="inlineStr">
        <is>
          <t xml:space="preserve">  cases     EXT-T20.559-mu90-kf+1, EXT-T15-mu0-kf-1, EXT-T15-mu90-kf+1</t>
        </is>
      </c>
    </row>
    <row r="26">
      <c r="A26" s="68" t="inlineStr">
        <is>
          <t xml:space="preserve">  命令      python build.py  (abs_fpi_external.yaml)</t>
        </is>
      </c>
    </row>
    <row r="27">
      <c r="A27" s="65" t="inlineStr"/>
    </row>
    <row r="28">
      <c r="A28" s="66" t="inlineStr">
        <is>
          <t>工况一览（来自上一次渲染）</t>
        </is>
      </c>
    </row>
    <row r="29">
      <c r="A29" s="68" t="inlineStr">
        <is>
          <t xml:space="preserve">  EXT-T20.559-mu90-kf+1, EXT-T15-mu0-kf-1, EXT-T15-mu90-kf+1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6" customWidth="1" min="4" max="4"/>
    <col width="16" customWidth="1" min="5" max="5"/>
  </cols>
  <sheetData>
    <row r="1">
      <c r="A1" s="7" t="inlineStr">
        <is>
          <t>Variable</t>
        </is>
      </c>
      <c r="B1" s="7" t="inlineStr">
        <is>
          <t>Value</t>
        </is>
      </c>
      <c r="C1" s="7" t="inlineStr">
        <is>
          <t>Description</t>
        </is>
      </c>
      <c r="D1" s="7" t="inlineStr">
        <is>
          <t>Prefix</t>
        </is>
      </c>
      <c r="E1" s="8" t="inlineStr">
        <is>
          <t>Suffix</t>
        </is>
      </c>
    </row>
    <row r="2">
      <c r="A2" t="inlineStr">
        <is>
          <t>L</t>
        </is>
      </c>
      <c r="B2" s="12" t="n">
        <v>340</v>
      </c>
      <c r="C2" t="inlineStr">
        <is>
          <t>规范船长 [m]（3-1-1/3）；同时驱动 C_1 / k_lo / k_f</t>
        </is>
      </c>
      <c r="E2" t="inlineStr">
        <is>
          <t xml:space="preserve"> m</t>
        </is>
      </c>
    </row>
    <row r="3">
      <c r="A3" t="inlineStr">
        <is>
          <t>B</t>
        </is>
      </c>
      <c r="B3" s="12" t="n">
        <v>64</v>
      </c>
      <c r="C3" t="inlineStr">
        <is>
          <t>规范型宽 [m]；B/2 决定舭部位置</t>
        </is>
      </c>
      <c r="E3" t="inlineStr">
        <is>
          <t xml:space="preserve"> m</t>
        </is>
      </c>
    </row>
    <row r="4">
      <c r="A4" t="inlineStr">
        <is>
          <t>D</t>
        </is>
      </c>
      <c r="B4" s="12" t="n">
        <v>32</v>
      </c>
      <c r="C4" t="inlineStr">
        <is>
          <t>规范型深 [m]（基线到甲板）</t>
        </is>
      </c>
      <c r="E4" t="inlineStr">
        <is>
          <t xml:space="preserve"> m</t>
        </is>
      </c>
    </row>
    <row r="5">
      <c r="A5" t="inlineStr">
        <is>
          <t>r_b</t>
        </is>
      </c>
      <c r="B5" s="12" t="n">
        <v>0.703</v>
      </c>
      <c r="C5" t="inlineStr">
        <is>
          <t>舭圆半径 [m]：z_bilge = r_b，平底宽 = B/2 - r_b</t>
        </is>
      </c>
      <c r="E5" t="inlineStr">
        <is>
          <t xml:space="preserve"> m</t>
        </is>
      </c>
    </row>
    <row r="6">
      <c r="A6" t="inlineStr">
        <is>
          <t>freeboard</t>
        </is>
      </c>
      <c r="B6" s="12" t="n">
        <v>0.5</v>
      </c>
      <c r="C6" t="inlineStr">
        <is>
          <t>甲板边线在载重线以上的余量 [m]；Fig. 10 的截断高度用它算</t>
        </is>
      </c>
      <c r="E6" t="inlineStr">
        <is>
          <t xml:space="preserve"> m</t>
        </is>
      </c>
    </row>
    <row r="7">
      <c r="A7" t="inlineStr">
        <is>
          <t>rho_sea</t>
        </is>
      </c>
      <c r="B7" s="12" t="n">
        <v>1025</v>
      </c>
      <c r="C7" t="inlineStr">
        <is>
          <t>海水密度 [kg/m^3]；规范下限 1.005 N/cm^2-m 即 1025 kg/m^3</t>
        </is>
      </c>
      <c r="E7" t="inlineStr">
        <is>
          <t xml:space="preserve"> kg/m^3</t>
        </is>
      </c>
    </row>
    <row r="8">
      <c r="A8" t="inlineStr">
        <is>
          <t>g</t>
        </is>
      </c>
      <c r="B8" s="12" t="n">
        <v>9.81</v>
      </c>
      <c r="C8" t="inlineStr">
        <is>
          <t>重力加速度 [m/s^2]</t>
        </is>
      </c>
      <c r="E8" t="inlineStr">
        <is>
          <t xml:space="preserve"> m/s^2</t>
        </is>
      </c>
    </row>
    <row r="9">
      <c r="A9" t="inlineStr">
        <is>
          <t>Cb</t>
        </is>
      </c>
      <c r="B9" s="12" t="n">
        <v>1</v>
      </c>
      <c r="C9" t="inlineStr">
        <is>
          <t>方形系数 [-]（3-1-1/13.3）</t>
        </is>
      </c>
    </row>
    <row r="10">
      <c r="A10" t="inlineStr">
        <is>
          <t>ax_x</t>
        </is>
      </c>
      <c r="B10" s="12" t="inlineStr">
        <is>
          <t>1</t>
        </is>
      </c>
      <c r="C10" t="inlineStr">
        <is>
          <t>规范 x（自 AP）取自模型哪个轴：1=x, 2=y, 3=z</t>
        </is>
      </c>
    </row>
    <row r="11">
      <c r="A11" t="inlineStr">
        <is>
          <t>ax_y</t>
        </is>
      </c>
      <c r="B11" s="12" t="inlineStr">
        <is>
          <t>2</t>
        </is>
      </c>
      <c r="C11" t="inlineStr">
        <is>
          <t>规范 y（自中线，向右舷为正）取自模型哪个轴</t>
        </is>
      </c>
    </row>
    <row r="12">
      <c r="A12" t="inlineStr">
        <is>
          <t>ax_z</t>
        </is>
      </c>
      <c r="B12" s="12" t="inlineStr">
        <is>
          <t>3</t>
        </is>
      </c>
      <c r="C12" t="inlineStr">
        <is>
          <t>规范 z（基线以上，向上为正）取自模型哪个轴</t>
        </is>
      </c>
    </row>
    <row r="13">
      <c r="A13" t="inlineStr">
        <is>
          <t>neg_x</t>
        </is>
      </c>
      <c r="B13" s="12" t="inlineStr"/>
      <c r="C13" t="inlineStr">
        <is>
          <t>规范 x 是否取反：填 - 表示取反，留空表示不取反</t>
        </is>
      </c>
    </row>
    <row r="14">
      <c r="A14" t="inlineStr">
        <is>
          <t>neg_y</t>
        </is>
      </c>
      <c r="B14" s="12" t="inlineStr"/>
      <c r="C14" t="inlineStr">
        <is>
          <t>规范 y 是否取反：填 - 表示取反，留空表示不取反</t>
        </is>
      </c>
    </row>
    <row r="15">
      <c r="A15" t="inlineStr">
        <is>
          <t>neg_z</t>
        </is>
      </c>
      <c r="B15" s="12" t="inlineStr"/>
      <c r="C15" t="inlineStr">
        <is>
          <t>规范 z 是否取反：填 - 表示取反，留空表示不取反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6" customWidth="1" min="4" max="4"/>
    <col width="27" customWidth="1" min="5" max="5"/>
    <col width="22" customWidth="1" min="6" max="6"/>
    <col width="23" customWidth="1" min="7" max="7"/>
  </cols>
  <sheetData>
    <row r="1">
      <c r="A1" s="7" t="inlineStr">
        <is>
          <t>Variable</t>
        </is>
      </c>
      <c r="B1" s="7" t="inlineStr">
        <is>
          <t>Description</t>
        </is>
      </c>
      <c r="C1" s="7" t="inlineStr">
        <is>
          <t>Prefix</t>
        </is>
      </c>
      <c r="D1" s="7" t="inlineStr">
        <is>
          <t>Suffix</t>
        </is>
      </c>
      <c r="E1" s="8" t="inlineStr">
        <is>
          <t>EXT-T20.559-mu90-kf+1</t>
        </is>
      </c>
      <c r="F1" s="8" t="inlineStr">
        <is>
          <t>EXT-T15-mu0-kf-1</t>
        </is>
      </c>
      <c r="G1" s="8" t="inlineStr">
        <is>
          <t>EXT-T15-mu90-kf+1</t>
        </is>
      </c>
    </row>
    <row r="2">
      <c r="A2" t="inlineStr">
        <is>
          <t>kind</t>
        </is>
      </c>
      <c r="B2" t="inlineStr">
        <is>
          <t>这个 Case 属于哪一套规则：EXT / INT（多规则集合用时用 case_filter 分流）</t>
        </is>
      </c>
      <c r="E2" s="12" t="inlineStr">
        <is>
          <t>EXT</t>
        </is>
      </c>
      <c r="F2" s="12" t="inlineStr">
        <is>
          <t>EXT</t>
        </is>
      </c>
      <c r="G2" s="12" t="inlineStr">
        <is>
          <t>EXT</t>
        </is>
      </c>
    </row>
    <row r="3">
      <c r="A3" t="inlineStr">
        <is>
          <t>draft</t>
        </is>
      </c>
      <c r="B3" t="inlineStr">
        <is>
          <t>工况吃水 [m]；h_s = draft - z，负值截断为 0</t>
        </is>
      </c>
      <c r="D3" t="inlineStr">
        <is>
          <t xml:space="preserve"> m</t>
        </is>
      </c>
      <c r="E3" s="12" t="n">
        <v>20.559</v>
      </c>
      <c r="F3" s="12" t="n">
        <v>15</v>
      </c>
      <c r="G3" s="12" t="n">
        <v>15</v>
      </c>
    </row>
    <row r="4">
      <c r="A4" t="inlineStr">
        <is>
          <t>mu_deg</t>
        </is>
      </c>
      <c r="B4" t="inlineStr">
        <is>
          <t>浪向角 [deg]，0 = 顶浪，90 = 右舷来浪（Table 1A D）</t>
        </is>
      </c>
      <c r="D4" t="inlineStr">
        <is>
          <t xml:space="preserve"> deg</t>
        </is>
      </c>
      <c r="E4" s="12" t="n">
        <v>90</v>
      </c>
      <c r="F4" s="12" t="n">
        <v>0</v>
      </c>
      <c r="G4" s="12" t="n">
        <v>90</v>
      </c>
    </row>
    <row r="5">
      <c r="A5" t="inlineStr">
        <is>
          <t>k_c</t>
        </is>
      </c>
      <c r="B5" t="inlineStr">
        <is>
          <t>组合工况相关系数 [-]，进 h_de = k_c h_di（Table 1A B）</t>
        </is>
      </c>
      <c r="E5" s="12" t="n">
        <v>1</v>
      </c>
      <c r="F5" s="12" t="n">
        <v>0.5</v>
      </c>
      <c r="G5" s="12" t="n">
        <v>1</v>
      </c>
    </row>
    <row r="6">
      <c r="A6" t="inlineStr">
        <is>
          <t>k_f0</t>
        </is>
      </c>
      <c r="B6" t="inlineStr">
        <is>
          <t>相位因子 +1 / -1 [-]，决定参考站落在哪一端（Table 1A B）</t>
        </is>
      </c>
      <c r="E6" s="12" t="n">
        <v>1</v>
      </c>
      <c r="F6" s="12" t="n">
        <v>-1</v>
      </c>
      <c r="G6" s="12" t="n">
        <v>1</v>
      </c>
    </row>
    <row r="7">
      <c r="A7" t="inlineStr">
        <is>
          <t>k_u</t>
        </is>
      </c>
      <c r="B7" t="inlineStr">
        <is>
          <t>载荷系数 [-]；规范默认 1.0，1.1 用于板与纵骨的工况</t>
        </is>
      </c>
      <c r="E7" s="12" t="n">
        <v>1.1</v>
      </c>
      <c r="F7" s="12" t="n">
        <v>1.1</v>
      </c>
      <c r="G7" s="12" t="n">
        <v>1.1</v>
      </c>
    </row>
    <row r="8">
      <c r="A8" t="inlineStr">
        <is>
          <t>beta_EPS</t>
        </is>
      </c>
      <c r="B8" t="inlineStr">
        <is>
          <t>外压 ESF，右舷 [-]（5A-3-A1/3）</t>
        </is>
      </c>
      <c r="E8" s="12" t="n">
        <v>0.733</v>
      </c>
      <c r="F8" s="12" t="n">
        <v>0.733</v>
      </c>
      <c r="G8" s="12" t="n">
        <v>0.733</v>
      </c>
    </row>
    <row r="9">
      <c r="A9" t="inlineStr">
        <is>
          <t>beta_EPP</t>
        </is>
      </c>
      <c r="B9" t="inlineStr">
        <is>
          <t>外压 ESF，左舷 [-]（5A-3-A1/3）</t>
        </is>
      </c>
      <c r="E9" s="12" t="n">
        <v>0.733</v>
      </c>
      <c r="F9" s="12" t="n">
        <v>0.733</v>
      </c>
      <c r="G9" s="12" t="n">
        <v>0.733</v>
      </c>
    </row>
    <row r="10">
      <c r="A10" t="inlineStr">
        <is>
          <t>k_esf</t>
        </is>
      </c>
      <c r="B10" t="inlineStr">
        <is>
          <t>项目对 ESF 的分项系数 [-]</t>
        </is>
      </c>
      <c r="E10" s="12" t="n">
        <v>1.1</v>
      </c>
      <c r="F10" s="12" t="n">
        <v>1.1</v>
      </c>
      <c r="G10" s="12" t="n">
        <v>1.1</v>
      </c>
    </row>
    <row r="11">
      <c r="A11" t="inlineStr">
        <is>
          <t>x_o</t>
        </is>
      </c>
      <c r="B11" t="inlineStr">
        <is>
          <t>参考站 [m]，自 AP 量起（Fig. 9 脚注）</t>
        </is>
      </c>
      <c r="D11" t="inlineStr">
        <is>
          <t xml:space="preserve"> m</t>
        </is>
      </c>
      <c r="E11" s="12" t="n">
        <v>51</v>
      </c>
      <c r="F11" s="12" t="n">
        <v>51</v>
      </c>
      <c r="G11" s="12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94"/>
  <sheetViews>
    <sheetView workbookViewId="0">
      <selection activeCell="A1" sqref="A1"/>
    </sheetView>
  </sheetViews>
  <sheetFormatPr baseColWidth="8" defaultRowHeight="15"/>
  <cols>
    <col width="160" customWidth="1" min="2" max="2"/>
    <col width="160" customWidth="1" min="3" max="3"/>
    <col width="160" customWidth="1" min="4" max="4"/>
  </cols>
  <sheetData>
    <row r="1">
      <c r="B1" s="18" t="inlineStr">
        <is>
          <t>EXT-T20.559-mu90-kf+1</t>
        </is>
      </c>
      <c r="C1" s="18" t="inlineStr">
        <is>
          <t>EXT-T15-mu0-kf-1</t>
        </is>
      </c>
      <c r="D1" s="18" t="inlineStr">
        <is>
          <t>EXT-T15-mu90-kf+1</t>
        </is>
      </c>
    </row>
    <row r="2">
      <c r="B2">
        <f>"// "&amp;'Local Parameter'!E$1</f>
        <v/>
      </c>
      <c r="C2">
        <f>"// "&amp;'Local Parameter'!F$1</f>
        <v/>
      </c>
      <c r="D2">
        <f>"// "&amp;'Local Parameter'!G$1</f>
        <v/>
      </c>
    </row>
    <row r="3">
      <c r="B3">
        <f>"// The rules live in the RULE frame: x from the A.P., y from the centre line"</f>
        <v/>
      </c>
      <c r="C3">
        <f>"// The rules live in the RULE frame: x from the A.P., y from the centre line"</f>
        <v/>
      </c>
      <c r="D3">
        <f>"// The rules live in the RULE frame: x from the A.P., y from the centre line"</f>
        <v/>
      </c>
    </row>
    <row r="4">
      <c r="B4">
        <f>"// positive starboard, z above the baseline.  The model usually is not, so the"</f>
        <v/>
      </c>
      <c r="C4">
        <f>"// positive starboard, z above the baseline.  The model usually is not, so the"</f>
        <v/>
      </c>
      <c r="D4">
        <f>"// positive starboard, z above the baseline.  The model usually is not, so the"</f>
        <v/>
      </c>
    </row>
    <row r="5">
      <c r="B5">
        <f>"// three mapping cells (ax_* / neg_*) convert it.  All three coordinates go"</f>
        <v/>
      </c>
      <c r="C5">
        <f>"// three mapping cells (ax_* / neg_*) convert it.  All three coordinates go"</f>
        <v/>
      </c>
      <c r="D5">
        <f>"// three mapping cells (ax_* / neg_*) convert it.  All three coordinates go"</f>
        <v/>
      </c>
    </row>
    <row r="6">
      <c r="B6">
        <f>"// through temporaries first: assigning them in place would read a coordinate"</f>
        <v/>
      </c>
      <c r="C6">
        <f>"// through temporaries first: assigning them in place would read a coordinate"</f>
        <v/>
      </c>
      <c r="D6">
        <f>"// through temporaries first: assigning them in place would read a coordinate"</f>
        <v/>
      </c>
    </row>
    <row r="7">
      <c r="B7">
        <f>"// that has already been overwritten."</f>
        <v/>
      </c>
      <c r="C7">
        <f>"// that has already been overwritten."</f>
        <v/>
      </c>
      <c r="D7">
        <f>"// that has already been overwritten."</f>
        <v/>
      </c>
    </row>
    <row r="8">
      <c r="B8">
        <f>"var t1 = x;"</f>
        <v/>
      </c>
      <c r="C8">
        <f>"var t1 = x;"</f>
        <v/>
      </c>
      <c r="D8">
        <f>"var t1 = x;"</f>
        <v/>
      </c>
    </row>
    <row r="9">
      <c r="B9">
        <f>"var t2 = y;"</f>
        <v/>
      </c>
      <c r="C9">
        <f>"var t2 = y;"</f>
        <v/>
      </c>
      <c r="D9">
        <f>"var t2 = y;"</f>
        <v/>
      </c>
    </row>
    <row r="10">
      <c r="B10">
        <f>"var t3 = z;"</f>
        <v/>
      </c>
      <c r="C10">
        <f>"var t3 = z;"</f>
        <v/>
      </c>
      <c r="D10">
        <f>"var t3 = z;"</f>
        <v/>
      </c>
    </row>
    <row r="11">
      <c r="B11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C11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  <c r="D11">
        <f>"x = 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Parameter'!$A:$A,0)))&amp;"t"&amp;IF(ISBLANK(INDEX('Global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Parameter'!$A:$A,0)))&amp;";"</f>
        <v/>
      </c>
    </row>
    <row r="12">
      <c r="B12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C12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  <c r="D12">
        <f>"y =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Parameter'!$A:$A,0)))&amp;"t"&amp;IF(ISBLANK(INDEX('Global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Parameter'!$A:$A,0)))&amp;";"</f>
        <v/>
      </c>
    </row>
    <row r="13">
      <c r="B13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C13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  <c r="D13">
        <f>"z =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Parameter'!$A:$A,0)))&amp;"t"&amp;IF(ISBLANK(INDEX('Global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Parameter'!$A:$A,0)))&amp;";"</f>
        <v/>
      </c>
    </row>
    <row r="14">
      <c r="B14">
        <f>"// --- global parameters (same for every case)"</f>
        <v/>
      </c>
      <c r="C14">
        <f>"// --- global parameters (same for every case)"</f>
        <v/>
      </c>
      <c r="D14">
        <f>"// --- global parameters (same for every case)"</f>
        <v/>
      </c>
    </row>
    <row r="15">
      <c r="B15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C15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  <c r="D15">
        <f>"var L =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Parameter'!$A:$A,0))))&amp;";"</f>
        <v/>
      </c>
    </row>
    <row r="16">
      <c r="B16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C16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  <c r="D16">
        <f>"var B =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Parameter'!$A:$A,0))))&amp;";"</f>
        <v/>
      </c>
    </row>
    <row r="17">
      <c r="B17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C17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  <c r="D17">
        <f>"var D =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Parameter'!$A:$A,0))))&amp;";"</f>
        <v/>
      </c>
    </row>
    <row r="18">
      <c r="B18">
        <f>"var r_b =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Parameter'!$A:$A,0))))&amp;";"</f>
        <v/>
      </c>
      <c r="C18">
        <f>"var r_b =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Parameter'!$A:$A,0))))&amp;";"</f>
        <v/>
      </c>
      <c r="D18">
        <f>"var r_b =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Parameter'!$A:$A,0))))&amp;";"</f>
        <v/>
      </c>
    </row>
    <row r="19">
      <c r="B19">
        <f>"var freeboard =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Parameter'!$A:$A,0))))&amp;";"</f>
        <v/>
      </c>
      <c r="C19">
        <f>"var freeboard =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Parameter'!$A:$A,0))))&amp;";"</f>
        <v/>
      </c>
      <c r="D19">
        <f>"var freeboard =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Parameter'!$A:$A,0))))&amp;";"</f>
        <v/>
      </c>
    </row>
    <row r="20">
      <c r="B20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C20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  <c r="D20">
        <f>"var rho_sea =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Parameter'!$A:$A,0))))&amp;";"</f>
        <v/>
      </c>
    </row>
    <row r="21">
      <c r="B21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C21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  <c r="D21">
        <f>"var g =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Parameter'!$A:$A,0))))&amp;";"</f>
        <v/>
      </c>
    </row>
    <row r="22">
      <c r="B22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C22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  <c r="D22">
        <f>"var Cb =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Parameter'!$A:$A,0)))&amp;";"</f>
        <v/>
      </c>
    </row>
    <row r="23">
      <c r="B23">
        <f>"// --- this case"</f>
        <v/>
      </c>
      <c r="C23">
        <f>"// --- this case"</f>
        <v/>
      </c>
      <c r="D23">
        <f>"// --- this case"</f>
        <v/>
      </c>
    </row>
    <row r="24">
      <c r="B24">
        <f>"var draft = "&amp;IF(ISBLANK(INDEX('Local Parameter'!$C:$C,MATCH("draft",'Local Parameter'!$A:$A,0))),"",INDEX('Local Parameter'!$C:$C,MATCH("draft",'Local Parameter'!$A:$A,0)))&amp;IF(ISBLANK(INDEX('Local Parameter'!E:E,MATCH("draft",'Local Parameter'!$A:$A,0))),20.559,IF(INDEX('Local Parameter'!E:E,MATCH("draft",'Local Parameter'!$A:$A,0))="",20.559,INDEX('Local Parameter'!E:E,MATCH("draft",'Local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C24">
        <f>"var draft = "&amp;IF(ISBLANK(INDEX('Local Parameter'!$C:$C,MATCH("draft",'Local Parameter'!$A:$A,0))),"",INDEX('Local Parameter'!$C:$C,MATCH("draft",'Local Parameter'!$A:$A,0)))&amp;IF(ISBLANK(INDEX('Local Parameter'!F:F,MATCH("draft",'Local Parameter'!$A:$A,0))),20.559,IF(INDEX('Local Parameter'!F:F,MATCH("draft",'Local Parameter'!$A:$A,0))="",20.559,INDEX('Local Parameter'!F:F,MATCH("draft",'Local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  <c r="D24">
        <f>"var draft = "&amp;IF(ISBLANK(INDEX('Local Parameter'!$C:$C,MATCH("draft",'Local Parameter'!$A:$A,0))),"",INDEX('Local Parameter'!$C:$C,MATCH("draft",'Local Parameter'!$A:$A,0)))&amp;IF(ISBLANK(INDEX('Local Parameter'!G:G,MATCH("draft",'Local Parameter'!$A:$A,0))),20.559,IF(INDEX('Local Parameter'!G:G,MATCH("draft",'Local Parameter'!$A:$A,0))="",20.559,INDEX('Local Parameter'!G:G,MATCH("draft",'Local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Parameter'!$A:$A,0))))&amp;";"</f>
        <v/>
      </c>
    </row>
    <row r="25">
      <c r="B25">
        <f>"var mu_deg = "&amp;IF(ISBLANK(INDEX('Local Parameter'!$C:$C,MATCH("mu_deg",'Local Parameter'!$A:$A,0))),"",INDEX('Local Parameter'!$C:$C,MATCH("mu_deg",'Local Parameter'!$A:$A,0)))&amp;IF(ISBLANK(INDEX('Local Parameter'!E:E,MATCH("mu_deg",'Local Parameter'!$A:$A,0))),90,IF(INDEX('Local Parameter'!E:E,MATCH("mu_deg",'Local Parameter'!$A:$A,0))="",90,INDEX('Local Parameter'!E:E,MATCH("mu_deg",'Local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C25">
        <f>"var mu_deg = "&amp;IF(ISBLANK(INDEX('Local Parameter'!$C:$C,MATCH("mu_deg",'Local Parameter'!$A:$A,0))),"",INDEX('Local Parameter'!$C:$C,MATCH("mu_deg",'Local Parameter'!$A:$A,0)))&amp;IF(ISBLANK(INDEX('Local Parameter'!F:F,MATCH("mu_deg",'Local Parameter'!$A:$A,0))),90,IF(INDEX('Local Parameter'!F:F,MATCH("mu_deg",'Local Parameter'!$A:$A,0))="",90,INDEX('Local Parameter'!F:F,MATCH("mu_deg",'Local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  <c r="D25">
        <f>"var mu_deg = "&amp;IF(ISBLANK(INDEX('Local Parameter'!$C:$C,MATCH("mu_deg",'Local Parameter'!$A:$A,0))),"",INDEX('Local Parameter'!$C:$C,MATCH("mu_deg",'Local Parameter'!$A:$A,0)))&amp;IF(ISBLANK(INDEX('Local Parameter'!G:G,MATCH("mu_deg",'Local Parameter'!$A:$A,0))),90,IF(INDEX('Local Parameter'!G:G,MATCH("mu_deg",'Local Parameter'!$A:$A,0))="",90,INDEX('Local Parameter'!G:G,MATCH("mu_deg",'Local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Parameter'!$A:$A,0))))&amp;";"</f>
        <v/>
      </c>
    </row>
    <row r="26">
      <c r="B26">
        <f>"var k_c = "&amp;IF(ISBLANK(INDEX('Local Parameter'!$C:$C,MATCH("k_c",'Local Parameter'!$A:$A,0))),"",INDEX('Local Parameter'!$C:$C,MATCH("k_c",'Local Parameter'!$A:$A,0)))&amp;IF(ISBLANK(INDEX('Local Parameter'!E:E,MATCH("k_c",'Local Parameter'!$A:$A,0))),1,IF(INDEX('Local Parameter'!E:E,MATCH("k_c",'Local Parameter'!$A:$A,0))="",1,INDEX('Local Parameter'!E:E,MATCH("k_c",'Local Parameter'!$A:$A,0))))&amp;IF(ISBLANK(INDEX('Local Parameter'!$D:$D,MATCH("k_c",'Local Parameter'!$A:$A,0))),"",INDEX('Local Parameter'!$D:$D,MATCH("k_c",'Local Parameter'!$A:$A,0)))&amp;";"</f>
        <v/>
      </c>
      <c r="C26">
        <f>"var k_c = "&amp;IF(ISBLANK(INDEX('Local Parameter'!$C:$C,MATCH("k_c",'Local Parameter'!$A:$A,0))),"",INDEX('Local Parameter'!$C:$C,MATCH("k_c",'Local Parameter'!$A:$A,0)))&amp;IF(ISBLANK(INDEX('Local Parameter'!F:F,MATCH("k_c",'Local Parameter'!$A:$A,0))),1,IF(INDEX('Local Parameter'!F:F,MATCH("k_c",'Local Parameter'!$A:$A,0))="",1,INDEX('Local Parameter'!F:F,MATCH("k_c",'Local Parameter'!$A:$A,0))))&amp;IF(ISBLANK(INDEX('Local Parameter'!$D:$D,MATCH("k_c",'Local Parameter'!$A:$A,0))),"",INDEX('Local Parameter'!$D:$D,MATCH("k_c",'Local Parameter'!$A:$A,0)))&amp;";"</f>
        <v/>
      </c>
      <c r="D26">
        <f>"var k_c = "&amp;IF(ISBLANK(INDEX('Local Parameter'!$C:$C,MATCH("k_c",'Local Parameter'!$A:$A,0))),"",INDEX('Local Parameter'!$C:$C,MATCH("k_c",'Local Parameter'!$A:$A,0)))&amp;IF(ISBLANK(INDEX('Local Parameter'!G:G,MATCH("k_c",'Local Parameter'!$A:$A,0))),1,IF(INDEX('Local Parameter'!G:G,MATCH("k_c",'Local Parameter'!$A:$A,0))="",1,INDEX('Local Parameter'!G:G,MATCH("k_c",'Local Parameter'!$A:$A,0))))&amp;IF(ISBLANK(INDEX('Local Parameter'!$D:$D,MATCH("k_c",'Local Parameter'!$A:$A,0))),"",INDEX('Local Parameter'!$D:$D,MATCH("k_c",'Local Parameter'!$A:$A,0)))&amp;";"</f>
        <v/>
      </c>
    </row>
    <row r="27">
      <c r="B27">
        <f>"var k_f0 = "&amp;IF(ISBLANK(INDEX('Local Parameter'!$C:$C,MATCH("k_f0",'Local Parameter'!$A:$A,0))),"",INDEX('Local Parameter'!$C:$C,MATCH("k_f0",'Local Parameter'!$A:$A,0)))&amp;IF(ISBLANK(INDEX('Local Parameter'!E:E,MATCH("k_f0",'Local Parameter'!$A:$A,0))),1,IF(INDEX('Local Parameter'!E:E,MATCH("k_f0",'Local Parameter'!$A:$A,0))="",1,INDEX('Local Parameter'!E:E,MATCH("k_f0",'Local Parameter'!$A:$A,0))))&amp;IF(ISBLANK(INDEX('Local Parameter'!$D:$D,MATCH("k_f0",'Local Parameter'!$A:$A,0))),"",INDEX('Local Parameter'!$D:$D,MATCH("k_f0",'Local Parameter'!$A:$A,0)))&amp;";"</f>
        <v/>
      </c>
      <c r="C27">
        <f>"var k_f0 = "&amp;IF(ISBLANK(INDEX('Local Parameter'!$C:$C,MATCH("k_f0",'Local Parameter'!$A:$A,0))),"",INDEX('Local Parameter'!$C:$C,MATCH("k_f0",'Local Parameter'!$A:$A,0)))&amp;IF(ISBLANK(INDEX('Local Parameter'!F:F,MATCH("k_f0",'Local Parameter'!$A:$A,0))),1,IF(INDEX('Local Parameter'!F:F,MATCH("k_f0",'Local Parameter'!$A:$A,0))="",1,INDEX('Local Parameter'!F:F,MATCH("k_f0",'Local Parameter'!$A:$A,0))))&amp;IF(ISBLANK(INDEX('Local Parameter'!$D:$D,MATCH("k_f0",'Local Parameter'!$A:$A,0))),"",INDEX('Local Parameter'!$D:$D,MATCH("k_f0",'Local Parameter'!$A:$A,0)))&amp;";"</f>
        <v/>
      </c>
      <c r="D27">
        <f>"var k_f0 = "&amp;IF(ISBLANK(INDEX('Local Parameter'!$C:$C,MATCH("k_f0",'Local Parameter'!$A:$A,0))),"",INDEX('Local Parameter'!$C:$C,MATCH("k_f0",'Local Parameter'!$A:$A,0)))&amp;IF(ISBLANK(INDEX('Local Parameter'!G:G,MATCH("k_f0",'Local Parameter'!$A:$A,0))),1,IF(INDEX('Local Parameter'!G:G,MATCH("k_f0",'Local Parameter'!$A:$A,0))="",1,INDEX('Local Parameter'!G:G,MATCH("k_f0",'Local Parameter'!$A:$A,0))))&amp;IF(ISBLANK(INDEX('Local Parameter'!$D:$D,MATCH("k_f0",'Local Parameter'!$A:$A,0))),"",INDEX('Local Parameter'!$D:$D,MATCH("k_f0",'Local Parameter'!$A:$A,0)))&amp;";"</f>
        <v/>
      </c>
    </row>
    <row r="28">
      <c r="B28">
        <f>"var k_u = "&amp;IF(ISBLANK(INDEX('Local Parameter'!$C:$C,MATCH("k_u",'Local Parameter'!$A:$A,0))),"",INDEX('Local Parameter'!$C:$C,MATCH("k_u",'Local Parameter'!$A:$A,0)))&amp;IF(ISBLANK(INDEX('Local Parameter'!E:E,MATCH("k_u",'Local Parameter'!$A:$A,0))),1.1,IF(INDEX('Local Parameter'!E:E,MATCH("k_u",'Local Parameter'!$A:$A,0))="",1.1,INDEX('Local Parameter'!E:E,MATCH("k_u",'Local Parameter'!$A:$A,0))))&amp;IF(ISBLANK(INDEX('Local Parameter'!$D:$D,MATCH("k_u",'Local Parameter'!$A:$A,0))),"",INDEX('Local Parameter'!$D:$D,MATCH("k_u",'Local Parameter'!$A:$A,0)))&amp;";"</f>
        <v/>
      </c>
      <c r="C28">
        <f>"var k_u = "&amp;IF(ISBLANK(INDEX('Local Parameter'!$C:$C,MATCH("k_u",'Local Parameter'!$A:$A,0))),"",INDEX('Local Parameter'!$C:$C,MATCH("k_u",'Local Parameter'!$A:$A,0)))&amp;IF(ISBLANK(INDEX('Local Parameter'!F:F,MATCH("k_u",'Local Parameter'!$A:$A,0))),1.1,IF(INDEX('Local Parameter'!F:F,MATCH("k_u",'Local Parameter'!$A:$A,0))="",1.1,INDEX('Local Parameter'!F:F,MATCH("k_u",'Local Parameter'!$A:$A,0))))&amp;IF(ISBLANK(INDEX('Local Parameter'!$D:$D,MATCH("k_u",'Local Parameter'!$A:$A,0))),"",INDEX('Local Parameter'!$D:$D,MATCH("k_u",'Local Parameter'!$A:$A,0)))&amp;";"</f>
        <v/>
      </c>
      <c r="D28">
        <f>"var k_u = "&amp;IF(ISBLANK(INDEX('Local Parameter'!$C:$C,MATCH("k_u",'Local Parameter'!$A:$A,0))),"",INDEX('Local Parameter'!$C:$C,MATCH("k_u",'Local Parameter'!$A:$A,0)))&amp;IF(ISBLANK(INDEX('Local Parameter'!G:G,MATCH("k_u",'Local Parameter'!$A:$A,0))),1.1,IF(INDEX('Local Parameter'!G:G,MATCH("k_u",'Local Parameter'!$A:$A,0))="",1.1,INDEX('Local Parameter'!G:G,MATCH("k_u",'Local Parameter'!$A:$A,0))))&amp;IF(ISBLANK(INDEX('Local Parameter'!$D:$D,MATCH("k_u",'Local Parameter'!$A:$A,0))),"",INDEX('Local Parameter'!$D:$D,MATCH("k_u",'Local Parameter'!$A:$A,0)))&amp;";"</f>
        <v/>
      </c>
    </row>
    <row r="29">
      <c r="B29">
        <f>"var beta_EPS = "&amp;IF(ISBLANK(INDEX('Local Parameter'!$C:$C,MATCH("beta_EPS",'Local Parameter'!$A:$A,0))),"",INDEX('Local Parameter'!$C:$C,MATCH("beta_EPS",'Local Parameter'!$A:$A,0)))&amp;IF(ISBLANK(INDEX('Local Parameter'!E:E,MATCH("beta_EPS",'Local Parameter'!$A:$A,0))),0.733,IF(INDEX('Local Parameter'!E:E,MATCH("beta_EPS",'Local Parameter'!$A:$A,0))="",0.733,INDEX('Local Parameter'!E:E,MATCH("beta_EPS",'Local Parameter'!$A:$A,0))))&amp;IF(ISBLANK(INDEX('Local Parameter'!$D:$D,MATCH("beta_EPS",'Local Parameter'!$A:$A,0))),"",INDEX('Local Parameter'!$D:$D,MATCH("beta_EPS",'Local Parameter'!$A:$A,0)))&amp;";"</f>
        <v/>
      </c>
      <c r="C29">
        <f>"var beta_EPS = "&amp;IF(ISBLANK(INDEX('Local Parameter'!$C:$C,MATCH("beta_EPS",'Local Parameter'!$A:$A,0))),"",INDEX('Local Parameter'!$C:$C,MATCH("beta_EPS",'Local Parameter'!$A:$A,0)))&amp;IF(ISBLANK(INDEX('Local Parameter'!F:F,MATCH("beta_EPS",'Local Parameter'!$A:$A,0))),0.733,IF(INDEX('Local Parameter'!F:F,MATCH("beta_EPS",'Local Parameter'!$A:$A,0))="",0.733,INDEX('Local Parameter'!F:F,MATCH("beta_EPS",'Local Parameter'!$A:$A,0))))&amp;IF(ISBLANK(INDEX('Local Parameter'!$D:$D,MATCH("beta_EPS",'Local Parameter'!$A:$A,0))),"",INDEX('Local Parameter'!$D:$D,MATCH("beta_EPS",'Local Parameter'!$A:$A,0)))&amp;";"</f>
        <v/>
      </c>
      <c r="D29">
        <f>"var beta_EPS = "&amp;IF(ISBLANK(INDEX('Local Parameter'!$C:$C,MATCH("beta_EPS",'Local Parameter'!$A:$A,0))),"",INDEX('Local Parameter'!$C:$C,MATCH("beta_EPS",'Local Parameter'!$A:$A,0)))&amp;IF(ISBLANK(INDEX('Local Parameter'!G:G,MATCH("beta_EPS",'Local Parameter'!$A:$A,0))),0.733,IF(INDEX('Local Parameter'!G:G,MATCH("beta_EPS",'Local Parameter'!$A:$A,0))="",0.733,INDEX('Local Parameter'!G:G,MATCH("beta_EPS",'Local Parameter'!$A:$A,0))))&amp;IF(ISBLANK(INDEX('Local Parameter'!$D:$D,MATCH("beta_EPS",'Local Parameter'!$A:$A,0))),"",INDEX('Local Parameter'!$D:$D,MATCH("beta_EPS",'Local Parameter'!$A:$A,0)))&amp;";"</f>
        <v/>
      </c>
    </row>
    <row r="30">
      <c r="B30">
        <f>"var beta_EPP = "&amp;IF(ISBLANK(INDEX('Local Parameter'!$C:$C,MATCH("beta_EPP",'Local Parameter'!$A:$A,0))),"",INDEX('Local Parameter'!$C:$C,MATCH("beta_EPP",'Local Parameter'!$A:$A,0)))&amp;IF(ISBLANK(INDEX('Local Parameter'!E:E,MATCH("beta_EPP",'Local Parameter'!$A:$A,0))),0.733,IF(INDEX('Local Parameter'!E:E,MATCH("beta_EPP",'Local Parameter'!$A:$A,0))="",0.733,INDEX('Local Parameter'!E:E,MATCH("beta_EPP",'Local Parameter'!$A:$A,0))))&amp;IF(ISBLANK(INDEX('Local Parameter'!$D:$D,MATCH("beta_EPP",'Local Parameter'!$A:$A,0))),"",INDEX('Local Parameter'!$D:$D,MATCH("beta_EPP",'Local Parameter'!$A:$A,0)))&amp;";"</f>
        <v/>
      </c>
      <c r="C30">
        <f>"var beta_EPP = "&amp;IF(ISBLANK(INDEX('Local Parameter'!$C:$C,MATCH("beta_EPP",'Local Parameter'!$A:$A,0))),"",INDEX('Local Parameter'!$C:$C,MATCH("beta_EPP",'Local Parameter'!$A:$A,0)))&amp;IF(ISBLANK(INDEX('Local Parameter'!F:F,MATCH("beta_EPP",'Local Parameter'!$A:$A,0))),0.733,IF(INDEX('Local Parameter'!F:F,MATCH("beta_EPP",'Local Parameter'!$A:$A,0))="",0.733,INDEX('Local Parameter'!F:F,MATCH("beta_EPP",'Local Parameter'!$A:$A,0))))&amp;IF(ISBLANK(INDEX('Local Parameter'!$D:$D,MATCH("beta_EPP",'Local Parameter'!$A:$A,0))),"",INDEX('Local Parameter'!$D:$D,MATCH("beta_EPP",'Local Parameter'!$A:$A,0)))&amp;";"</f>
        <v/>
      </c>
      <c r="D30">
        <f>"var beta_EPP = "&amp;IF(ISBLANK(INDEX('Local Parameter'!$C:$C,MATCH("beta_EPP",'Local Parameter'!$A:$A,0))),"",INDEX('Local Parameter'!$C:$C,MATCH("beta_EPP",'Local Parameter'!$A:$A,0)))&amp;IF(ISBLANK(INDEX('Local Parameter'!G:G,MATCH("beta_EPP",'Local Parameter'!$A:$A,0))),0.733,IF(INDEX('Local Parameter'!G:G,MATCH("beta_EPP",'Local Parameter'!$A:$A,0))="",0.733,INDEX('Local Parameter'!G:G,MATCH("beta_EPP",'Local Parameter'!$A:$A,0))))&amp;IF(ISBLANK(INDEX('Local Parameter'!$D:$D,MATCH("beta_EPP",'Local Parameter'!$A:$A,0))),"",INDEX('Local Parameter'!$D:$D,MATCH("beta_EPP",'Local Parameter'!$A:$A,0)))&amp;";"</f>
        <v/>
      </c>
    </row>
    <row r="31">
      <c r="B31">
        <f>"var k_esf = "&amp;IF(ISBLANK(INDEX('Local Parameter'!$C:$C,MATCH("k_esf",'Local Parameter'!$A:$A,0))),"",INDEX('Local Parameter'!$C:$C,MATCH("k_esf",'Local Parameter'!$A:$A,0)))&amp;IF(ISBLANK(INDEX('Local Parameter'!E:E,MATCH("k_esf",'Local Parameter'!$A:$A,0))),1.1,IF(INDEX('Local Parameter'!E:E,MATCH("k_esf",'Local Parameter'!$A:$A,0))="",1.1,INDEX('Local Parameter'!E:E,MATCH("k_esf",'Local Parameter'!$A:$A,0))))&amp;IF(ISBLANK(INDEX('Local Parameter'!$D:$D,MATCH("k_esf",'Local Parameter'!$A:$A,0))),"",INDEX('Local Parameter'!$D:$D,MATCH("k_esf",'Local Parameter'!$A:$A,0)))&amp;";"</f>
        <v/>
      </c>
      <c r="C31">
        <f>"var k_esf = "&amp;IF(ISBLANK(INDEX('Local Parameter'!$C:$C,MATCH("k_esf",'Local Parameter'!$A:$A,0))),"",INDEX('Local Parameter'!$C:$C,MATCH("k_esf",'Local Parameter'!$A:$A,0)))&amp;IF(ISBLANK(INDEX('Local Parameter'!F:F,MATCH("k_esf",'Local Parameter'!$A:$A,0))),1.1,IF(INDEX('Local Parameter'!F:F,MATCH("k_esf",'Local Parameter'!$A:$A,0))="",1.1,INDEX('Local Parameter'!F:F,MATCH("k_esf",'Local Parameter'!$A:$A,0))))&amp;IF(ISBLANK(INDEX('Local Parameter'!$D:$D,MATCH("k_esf",'Local Parameter'!$A:$A,0))),"",INDEX('Local Parameter'!$D:$D,MATCH("k_esf",'Local Parameter'!$A:$A,0)))&amp;";"</f>
        <v/>
      </c>
      <c r="D31">
        <f>"var k_esf = "&amp;IF(ISBLANK(INDEX('Local Parameter'!$C:$C,MATCH("k_esf",'Local Parameter'!$A:$A,0))),"",INDEX('Local Parameter'!$C:$C,MATCH("k_esf",'Local Parameter'!$A:$A,0)))&amp;IF(ISBLANK(INDEX('Local Parameter'!G:G,MATCH("k_esf",'Local Parameter'!$A:$A,0))),1.1,IF(INDEX('Local Parameter'!G:G,MATCH("k_esf",'Local Parameter'!$A:$A,0))="",1.1,INDEX('Local Parameter'!G:G,MATCH("k_esf",'Local Parameter'!$A:$A,0))))&amp;IF(ISBLANK(INDEX('Local Parameter'!$D:$D,MATCH("k_esf",'Local Parameter'!$A:$A,0))),"",INDEX('Local Parameter'!$D:$D,MATCH("k_esf",'Local Parameter'!$A:$A,0)))&amp;";"</f>
        <v/>
      </c>
    </row>
    <row r="32">
      <c r="B32">
        <f>"var x_o = "&amp;IF(ISBLANK(INDEX('Local Parameter'!$C:$C,MATCH("x_o",'Local Parameter'!$A:$A,0))),"",INDEX('Local Parameter'!$C:$C,MATCH("x_o",'Local Parameter'!$A:$A,0)))&amp;IF(ISBLANK(INDEX('Local Parameter'!E:E,MATCH("x_o",'Local Parameter'!$A:$A,0))),51,IF(INDEX('Local Parameter'!E:E,MATCH("x_o",'Local Parameter'!$A:$A,0))="",51,INDEX('Local Parameter'!E:E,MATCH("x_o",'Local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Parameter'!$A:$A,0))))&amp;";"</f>
        <v/>
      </c>
      <c r="C32">
        <f>"var x_o = "&amp;IF(ISBLANK(INDEX('Local Parameter'!$C:$C,MATCH("x_o",'Local Parameter'!$A:$A,0))),"",INDEX('Local Parameter'!$C:$C,MATCH("x_o",'Local Parameter'!$A:$A,0)))&amp;IF(ISBLANK(INDEX('Local Parameter'!F:F,MATCH("x_o",'Local Parameter'!$A:$A,0))),51,IF(INDEX('Local Parameter'!F:F,MATCH("x_o",'Local Parameter'!$A:$A,0))="",51,INDEX('Local Parameter'!F:F,MATCH("x_o",'Local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Parameter'!$A:$A,0))))&amp;";"</f>
        <v/>
      </c>
      <c r="D32">
        <f>"var x_o = "&amp;IF(ISBLANK(INDEX('Local Parameter'!$C:$C,MATCH("x_o",'Local Parameter'!$A:$A,0))),"",INDEX('Local Parameter'!$C:$C,MATCH("x_o",'Local Parameter'!$A:$A,0)))&amp;IF(ISBLANK(INDEX('Local Parameter'!G:G,MATCH("x_o",'Local Parameter'!$A:$A,0))),51,IF(INDEX('Local Parameter'!G:G,MATCH("x_o",'Local Parameter'!$A:$A,0))="",51,INDEX('Local Parameter'!G:G,MATCH("x_o",'Local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Parameter'!$A:$A,0))))&amp;";"</f>
        <v/>
      </c>
    </row>
    <row r="33">
      <c r="B33">
        <f>"// --- the calculation"</f>
        <v/>
      </c>
      <c r="C33">
        <f>"// --- the calculation"</f>
        <v/>
      </c>
      <c r="D33">
        <f>"// --- the calculation"</f>
        <v/>
      </c>
    </row>
    <row r="34">
      <c r="B34">
        <f>"var u = mu_deg;   // the heading, as an Angle -- cos/sin take it directly"</f>
        <v/>
      </c>
      <c r="C34">
        <f>"var u = mu_deg;   // the heading, as an Angle -- cos/sin take it directly"</f>
        <v/>
      </c>
      <c r="D34">
        <f>"var u = mu_deg;   // the heading, as an Angle -- cos/sin take it directly"</f>
        <v/>
      </c>
    </row>
    <row r="35">
      <c r="B35">
        <f>"var C_1 = 0;   // wave coefficient, 0 until a length bracket matches"</f>
        <v/>
      </c>
      <c r="C35">
        <f>"var C_1 = 0;   // wave coefficient, 0 until a length bracket matches"</f>
        <v/>
      </c>
      <c r="D35">
        <f>"var C_1 = 0;   // wave coefficient, 0 until a length bracket matches"</f>
        <v/>
      </c>
    </row>
    <row r="36">
      <c r="B36">
        <f>"// C_1 brackets of 3-2-1/3.5, closed at both ends; outside them C_1 is zero"</f>
        <v/>
      </c>
      <c r="C36">
        <f>"// C_1 brackets of 3-2-1/3.5, closed at both ends; outside them C_1 is zero"</f>
        <v/>
      </c>
      <c r="D36">
        <f>"// C_1 brackets of 3-2-1/3.5, closed at both ends; outside them C_1 is zero"</f>
        <v/>
      </c>
    </row>
    <row r="37">
      <c r="B37">
        <f>"if      (L &gt;= 61 m  &amp;&amp; L &lt;= 90 m ) C_1 = 0.044 * (L / 1 m) + 3.75;"</f>
        <v/>
      </c>
      <c r="C37">
        <f>"if      (L &gt;= 61 m  &amp;&amp; L &lt;= 90 m ) C_1 = 0.044 * (L / 1 m) + 3.75;"</f>
        <v/>
      </c>
      <c r="D37">
        <f>"if      (L &gt;= 61 m  &amp;&amp; L &lt;= 90 m ) C_1 = 0.044 * (L / 1 m) + 3.75;"</f>
        <v/>
      </c>
    </row>
    <row r="38">
      <c r="B38">
        <f>"else if (L &gt;  90 m  &amp;&amp; L &lt;  300 m) C_1 = 10.75 - Math.pow((300 m - L) / 100 m, 1.5);"</f>
        <v/>
      </c>
      <c r="C38">
        <f>"else if (L &gt;  90 m  &amp;&amp; L &lt;  300 m) C_1 = 10.75 - Math.pow((300 m - L) / 100 m, 1.5);"</f>
        <v/>
      </c>
      <c r="D38">
        <f>"else if (L &gt;  90 m  &amp;&amp; L &lt;  300 m) C_1 = 10.75 - Math.pow((300 m - L) / 100 m, 1.5);"</f>
        <v/>
      </c>
    </row>
    <row r="39">
      <c r="B39">
        <f>"else if (L &gt;= 300 m &amp;&amp; L &lt;  350 m) C_1 = 10.75;"</f>
        <v/>
      </c>
      <c r="C39">
        <f>"else if (L &gt;= 300 m &amp;&amp; L &lt;  350 m) C_1 = 10.75;"</f>
        <v/>
      </c>
      <c r="D39">
        <f>"else if (L &gt;= 300 m &amp;&amp; L &lt;  350 m) C_1 = 10.75;"</f>
        <v/>
      </c>
    </row>
    <row r="40">
      <c r="B40">
        <f>"else if (L &gt;= 350 m &amp;&amp; L &lt;= 500 m) C_1 = 10.75 - Math.pow((L - 350 m) / 150 m, 1.5);"</f>
        <v/>
      </c>
      <c r="C40">
        <f>"else if (L &gt;= 350 m &amp;&amp; L &lt;= 500 m) C_1 = 10.75 - Math.pow((L - 350 m) / 150 m, 1.5);"</f>
        <v/>
      </c>
      <c r="D40">
        <f>"else if (L &gt;= 350 m &amp;&amp; L &lt;= 500 m) C_1 = 10.75 - Math.pow((L - 350 m) / 150 m, 1.5);"</f>
        <v/>
      </c>
    </row>
    <row r="41">
      <c r="B41">
        <f>"else                               C_1 = 0;"</f>
        <v/>
      </c>
      <c r="C41">
        <f>"else                               C_1 = 0;"</f>
        <v/>
      </c>
      <c r="D41">
        <f>"else                               C_1 = 0;"</f>
        <v/>
      </c>
    </row>
    <row r="42">
      <c r="B42">
        <f>"var h_do = 1.36 * C_1 * 1 m;   // reference hydrodynamic head, k = 1 (5.5.1)"</f>
        <v/>
      </c>
      <c r="C42">
        <f>"var h_do = 1.36 * C_1 * 1 m;   // reference hydrodynamic head, k = 1 (5.5.1)"</f>
        <v/>
      </c>
      <c r="D42">
        <f>"var h_do = 1.36 * C_1 * 1 m;   // reference hydrodynamic head, k = 1 (5.5.1)"</f>
        <v/>
      </c>
    </row>
    <row r="43">
      <c r="B43">
        <f>"var z_bilge = r_b;   // rule z of the bilge (the bilge radius)"</f>
        <v/>
      </c>
      <c r="C43">
        <f>"var z_bilge = r_b;   // rule z of the bilge (the bilge radius)"</f>
        <v/>
      </c>
      <c r="D43">
        <f>"var z_bilge = r_b;   // rule z of the bilge (the bilge radius)"</f>
        <v/>
      </c>
    </row>
    <row r="44">
      <c r="B44">
        <f>"var z_freeboard = D - freeboard;   // rule z of the highest deck at side"</f>
        <v/>
      </c>
      <c r="C44">
        <f>"var z_freeboard = D - freeboard;   // rule z of the highest deck at side"</f>
        <v/>
      </c>
      <c r="D44">
        <f>"var z_freeboard = D - freeboard;   // rule z of the highest deck at side"</f>
        <v/>
      </c>
    </row>
    <row r="45">
      <c r="B45">
        <f>"var xL = x / L;   // x / L, dimensionless"</f>
        <v/>
      </c>
      <c r="C45">
        <f>"var xL = x / L;   // x / L, dimensionless"</f>
        <v/>
      </c>
      <c r="D45">
        <f>"var xL = x / L;   // x / L, dimensionless"</f>
        <v/>
      </c>
    </row>
    <row r="46">
      <c r="B46">
        <f>"var k_lo = 1;   // k_lo = 1.0 amidships"</f>
        <v/>
      </c>
      <c r="C46">
        <f>"var k_lo = 1;   // k_lo = 1.0 amidships"</f>
        <v/>
      </c>
      <c r="D46">
        <f>"var k_lo = 1;   // k_lo = 1.0 amidships"</f>
        <v/>
      </c>
    </row>
    <row r="47">
      <c r="B47">
        <f>"// Fig. 9: k_lo = 1 amidships, rising towards both ends"</f>
        <v/>
      </c>
      <c r="C47">
        <f>"// Fig. 9: k_lo = 1 amidships, rising towards both ends"</f>
        <v/>
      </c>
      <c r="D47">
        <f>"// Fig. 9: k_lo = 1 amidships, rising towards both ends"</f>
        <v/>
      </c>
    </row>
    <row r="48">
      <c r="B48">
        <f>"if      (xL &lt; 0.2) k_lo = 1.5 - xL * 2.5;"</f>
        <v/>
      </c>
      <c r="C48">
        <f>"if      (xL &lt; 0.2) k_lo = 1.5 - xL * 2.5;"</f>
        <v/>
      </c>
      <c r="D48">
        <f>"if      (xL &lt; 0.2) k_lo = 1.5 - xL * 2.5;"</f>
        <v/>
      </c>
    </row>
    <row r="49">
      <c r="B49">
        <f>"else if (xL &gt; 0.7) k_lo = 1 + (xL - 0.7) * 5;"</f>
        <v/>
      </c>
      <c r="C49">
        <f>"else if (xL &gt; 0.7) k_lo = 1 + (xL - 0.7) * 5;"</f>
        <v/>
      </c>
      <c r="D49">
        <f>"else if (xL &gt; 0.7) k_lo = 1 + (xL - 0.7) * 5;"</f>
        <v/>
      </c>
    </row>
    <row r="50">
      <c r="B50">
        <f>"else               k_lo = 1;"</f>
        <v/>
      </c>
      <c r="C50">
        <f>"else               k_lo = 1;"</f>
        <v/>
      </c>
      <c r="D50">
        <f>"else               k_lo = 1;"</f>
        <v/>
      </c>
    </row>
    <row r="51">
      <c r="B51">
        <f>"var k_l = 1 + (k_lo - 1) * Math.cos(u);   // k_l = 1 + (k_lo - 1) cos mu; GeniE converts the angle inside cos"</f>
        <v/>
      </c>
      <c r="C51">
        <f>"var k_l = 1 + (k_lo - 1) * Math.cos(u);   // k_l = 1 + (k_lo - 1) cos mu; GeniE converts the angle inside cos"</f>
        <v/>
      </c>
      <c r="D51">
        <f>"var k_l = 1 + (k_lo - 1) * Math.cos(u);   // k_l = 1 + (k_lo - 1) cos mu; GeniE converts the angle inside cos"</f>
        <v/>
      </c>
    </row>
    <row r="52">
      <c r="B52">
        <f>"var k_f = k_f0 * (1 - (1 - Math.cos((x - x_o) / L * 360 deg)) * Math.cos(u));   // k_f, the reference station against the wave"</f>
        <v/>
      </c>
      <c r="C52">
        <f>"var k_f = k_f0 * (1 - (1 - Math.cos((x - x_o) / L * 360 deg)) * Math.cos(u));   // k_f, the reference station against the wave"</f>
        <v/>
      </c>
      <c r="D52">
        <f>"var k_f = k_f0 * (1 - (1 - Math.cos((x - x_o) / L * 360 deg)) * Math.cos(u));   // k_f, the reference station against the wave"</f>
        <v/>
      </c>
    </row>
    <row r="53">
      <c r="B53">
        <f>"var alpha_1 = (1 - 0.25 * Math.cos(u)) * k_f;   // i = 1, at the waterline, starboard"</f>
        <v/>
      </c>
      <c r="C53">
        <f>"var alpha_1 = (1 - 0.25 * Math.cos(u)) * k_f;   // i = 1, at the waterline, starboard"</f>
        <v/>
      </c>
      <c r="D53">
        <f>"var alpha_1 = (1 - 0.25 * Math.cos(u)) * k_f;   // i = 1, at the waterline, starboard"</f>
        <v/>
      </c>
    </row>
    <row r="54">
      <c r="B54">
        <f>"var alpha_2 = (0.40 - 0.10 * Math.cos(u)) * k_f;   // i = 2, at the bilge, starboard"</f>
        <v/>
      </c>
      <c r="C54">
        <f>"var alpha_2 = (0.40 - 0.10 * Math.cos(u)) * k_f;   // i = 2, at the bilge, starboard"</f>
        <v/>
      </c>
      <c r="D54">
        <f>"var alpha_2 = (0.40 - 0.10 * Math.cos(u)) * k_f;   // i = 2, at the bilge, starboard"</f>
        <v/>
      </c>
    </row>
    <row r="55">
      <c r="B55">
        <f>"var alpha_3 = (0.30 - 0.20 * Math.sin(u)) * k_f;   // i = 3, at the bottom centre line"</f>
        <v/>
      </c>
      <c r="C55">
        <f>"var alpha_3 = (0.30 - 0.20 * Math.sin(u)) * k_f;   // i = 3, at the bottom centre line"</f>
        <v/>
      </c>
      <c r="D55">
        <f>"var alpha_3 = (0.30 - 0.20 * Math.sin(u)) * k_f;   // i = 3, at the bottom centre line"</f>
        <v/>
      </c>
    </row>
    <row r="56">
      <c r="B56">
        <f>"var alpha_5 = (0.75 - 1.25 * Math.sin(u)) * k_f;   // i = 5, at the waterline, port"</f>
        <v/>
      </c>
      <c r="C56">
        <f>"var alpha_5 = (0.75 - 1.25 * Math.sin(u)) * k_f;   // i = 5, at the waterline, port"</f>
        <v/>
      </c>
      <c r="D56">
        <f>"var alpha_5 = (0.75 - 1.25 * Math.sin(u)) * k_f;   // i = 5, at the waterline, port"</f>
        <v/>
      </c>
    </row>
    <row r="57">
      <c r="B57">
        <f>"var alpha_4 = 2 * alpha_3 - alpha_2;   // i = 4 = 2 alpha_3 - alpha_2, at the bilge, port"</f>
        <v/>
      </c>
      <c r="C57">
        <f>"var alpha_4 = 2 * alpha_3 - alpha_2;   // i = 4 = 2 alpha_3 - alpha_2, at the bilge, port"</f>
        <v/>
      </c>
      <c r="D57">
        <f>"var alpha_4 = 2 * alpha_3 - alpha_2;   // i = 4 = 2 alpha_3 - alpha_2, at the bilge, port"</f>
        <v/>
      </c>
    </row>
    <row r="58">
      <c r="B58">
        <f>"var h_d1 = k_l * alpha_1 * h_do;   // hydrodynamic head at i = 1"</f>
        <v/>
      </c>
      <c r="C58">
        <f>"var h_d1 = k_l * alpha_1 * h_do;   // hydrodynamic head at i = 1"</f>
        <v/>
      </c>
      <c r="D58">
        <f>"var h_d1 = k_l * alpha_1 * h_do;   // hydrodynamic head at i = 1"</f>
        <v/>
      </c>
    </row>
    <row r="59">
      <c r="B59">
        <f>"var h_d5 = k_l * alpha_5 * h_do;   // hydrodynamic head at i = 5"</f>
        <v/>
      </c>
      <c r="C59">
        <f>"var h_d5 = k_l * alpha_5 * h_do;   // hydrodynamic head at i = 5"</f>
        <v/>
      </c>
      <c r="D59">
        <f>"var h_d5 = k_l * alpha_5 * h_do;   // hydrodynamic head at i = 5"</f>
        <v/>
      </c>
    </row>
    <row r="60">
      <c r="B60">
        <f>"var h_star_s = Math.min(z_freeboard - draft, k_u * h_d1);   // Fig. 10: the head above the waterline, capped at the freeboard, starboard"</f>
        <v/>
      </c>
      <c r="C60">
        <f>"var h_star_s = Math.min(z_freeboard - draft, k_u * h_d1);   // Fig. 10: the head above the waterline, capped at the freeboard, starboard"</f>
        <v/>
      </c>
      <c r="D60">
        <f>"var h_star_s = Math.min(z_freeboard - draft, k_u * h_d1);   // Fig. 10: the head above the waterline, capped at the freeboard, starboard"</f>
        <v/>
      </c>
    </row>
    <row r="61">
      <c r="B61">
        <f>"var h_star_p = Math.min(z_freeboard - draft, k_u * h_d5);   // Fig. 10: the head above the waterline, capped at the freeboard, port"</f>
        <v/>
      </c>
      <c r="C61">
        <f>"var h_star_p = Math.min(z_freeboard - draft, k_u * h_d5);   // Fig. 10: the head above the waterline, capped at the freeboard, port"</f>
        <v/>
      </c>
      <c r="D61">
        <f>"var h_star_p = Math.min(z_freeboard - draft, k_u * h_d5);   // Fig. 10: the head above the waterline, capped at the freeboard, port"</f>
        <v/>
      </c>
    </row>
    <row r="62">
      <c r="B62">
        <f>"var alpha_i = 0;   // alpha at the point evaluated, assigned by the girth branches"</f>
        <v/>
      </c>
      <c r="C62">
        <f>"var alpha_i = 0;   // alpha at the point evaluated, assigned by the girth branches"</f>
        <v/>
      </c>
      <c r="D62">
        <f>"var alpha_i = 0;   // alpha at the point evaluated, assigned by the girth branches"</f>
        <v/>
      </c>
    </row>
    <row r="63">
      <c r="B63">
        <f>"// Fig. 8: alpha at the point evaluated"</f>
        <v/>
      </c>
      <c r="C63">
        <f>"// Fig. 8: alpha at the point evaluated"</f>
        <v/>
      </c>
      <c r="D63">
        <f>"// Fig. 8: alpha at the point evaluated"</f>
        <v/>
      </c>
    </row>
    <row r="64">
      <c r="B64">
        <f>"if (z &gt;= z_bilge) {"</f>
        <v/>
      </c>
      <c r="C64">
        <f>"if (z &gt;= z_bilge) {"</f>
        <v/>
      </c>
      <c r="D64">
        <f>"if (z &gt;= z_bilge) {"</f>
        <v/>
      </c>
    </row>
    <row r="65">
      <c r="B65">
        <f>"    if (z &lt;= draft) {"</f>
        <v/>
      </c>
      <c r="C65">
        <f>"    if (z &lt;= draft) {"</f>
        <v/>
      </c>
      <c r="D65">
        <f>"    if (z &lt;= draft) {"</f>
        <v/>
      </c>
    </row>
    <row r="66">
      <c r="B66">
        <f>"        // bilge to waterline, on the side of the girth the point is on"</f>
        <v/>
      </c>
      <c r="C66">
        <f>"        // bilge to waterline, on the side of the girth the point is on"</f>
        <v/>
      </c>
      <c r="D66">
        <f>"        // bilge to waterline, on the side of the girth the point is on"</f>
        <v/>
      </c>
    </row>
    <row r="67">
      <c r="B67">
        <f>"        if (y &gt;= 0 m) alpha_i = alpha_2 + (alpha_1 - alpha_2) * (z - z_bilge) / (draft - z_bilge);"</f>
        <v/>
      </c>
      <c r="C67">
        <f>"        if (y &gt;= 0 m) alpha_i = alpha_2 + (alpha_1 - alpha_2) * (z - z_bilge) / (draft - z_bilge);"</f>
        <v/>
      </c>
      <c r="D67">
        <f>"        if (y &gt;= 0 m) alpha_i = alpha_2 + (alpha_1 - alpha_2) * (z - z_bilge) / (draft - z_bilge);"</f>
        <v/>
      </c>
    </row>
    <row r="68">
      <c r="B68">
        <f>"        else          alpha_i = alpha_4 + (alpha_5 - alpha_4) * (z - z_bilge) / (draft - z_bilge);"</f>
        <v/>
      </c>
      <c r="C68">
        <f>"        else          alpha_i = alpha_4 + (alpha_5 - alpha_4) * (z - z_bilge) / (draft - z_bilge);"</f>
        <v/>
      </c>
      <c r="D68">
        <f>"        else          alpha_i = alpha_4 + (alpha_5 - alpha_4) * (z - z_bilge) / (draft - z_bilge);"</f>
        <v/>
      </c>
    </row>
    <row r="69">
      <c r="B69">
        <f>"    } else {"</f>
        <v/>
      </c>
      <c r="C69">
        <f>"    } else {"</f>
        <v/>
      </c>
      <c r="D69">
        <f>"    } else {"</f>
        <v/>
      </c>
    </row>
    <row r="70">
      <c r="B70">
        <f>"        // above the waterline, faded out over that side's h_star"</f>
        <v/>
      </c>
      <c r="C70">
        <f>"        // above the waterline, faded out over that side's h_star"</f>
        <v/>
      </c>
      <c r="D70">
        <f>"        // above the waterline, faded out over that side's h_star"</f>
        <v/>
      </c>
    </row>
    <row r="71">
      <c r="B71">
        <f>"        if (y &gt;= 0 m) {"</f>
        <v/>
      </c>
      <c r="C71">
        <f>"        if (y &gt;= 0 m) {"</f>
        <v/>
      </c>
      <c r="D71">
        <f>"        if (y &gt;= 0 m) {"</f>
        <v/>
      </c>
    </row>
    <row r="72">
      <c r="B72">
        <f>"            if (h_star_s &lt;= 0 m) alpha_i = 0;"</f>
        <v/>
      </c>
      <c r="C72">
        <f>"            if (h_star_s &lt;= 0 m) alpha_i = 0;"</f>
        <v/>
      </c>
      <c r="D72">
        <f>"            if (h_star_s &lt;= 0 m) alpha_i = 0;"</f>
        <v/>
      </c>
    </row>
    <row r="73">
      <c r="B73">
        <f>"            else                 alpha_i = alpha_1 - (z - draft) / h_star_s * alpha_1;"</f>
        <v/>
      </c>
      <c r="C73">
        <f>"            else                 alpha_i = alpha_1 - (z - draft) / h_star_s * alpha_1;"</f>
        <v/>
      </c>
      <c r="D73">
        <f>"            else                 alpha_i = alpha_1 - (z - draft) / h_star_s * alpha_1;"</f>
        <v/>
      </c>
    </row>
    <row r="74">
      <c r="B74">
        <f>"        } else {"</f>
        <v/>
      </c>
      <c r="C74">
        <f>"        } else {"</f>
        <v/>
      </c>
      <c r="D74">
        <f>"        } else {"</f>
        <v/>
      </c>
    </row>
    <row r="75">
      <c r="B75">
        <f>"            if (h_star_p &lt;= 0 m) alpha_i = 0;"</f>
        <v/>
      </c>
      <c r="C75">
        <f>"            if (h_star_p &lt;= 0 m) alpha_i = 0;"</f>
        <v/>
      </c>
      <c r="D75">
        <f>"            if (h_star_p &lt;= 0 m) alpha_i = 0;"</f>
        <v/>
      </c>
    </row>
    <row r="76">
      <c r="B76">
        <f>"            else                 alpha_i = alpha_5 - (z - draft) / h_star_p * alpha_5;"</f>
        <v/>
      </c>
      <c r="C76">
        <f>"            else                 alpha_i = alpha_5 - (z - draft) / h_star_p * alpha_5;"</f>
        <v/>
      </c>
      <c r="D76">
        <f>"            else                 alpha_i = alpha_5 - (z - draft) / h_star_p * alpha_5;"</f>
        <v/>
      </c>
    </row>
    <row r="77">
      <c r="B77">
        <f>"        }"</f>
        <v/>
      </c>
      <c r="C77">
        <f>"        }"</f>
        <v/>
      </c>
      <c r="D77">
        <f>"        }"</f>
        <v/>
      </c>
    </row>
    <row r="78">
      <c r="B78">
        <f>"    }"</f>
        <v/>
      </c>
      <c r="C78">
        <f>"    }"</f>
        <v/>
      </c>
      <c r="D78">
        <f>"    }"</f>
        <v/>
      </c>
    </row>
    <row r="79">
      <c r="B79">
        <f>"} else {"</f>
        <v/>
      </c>
      <c r="C79">
        <f>"} else {"</f>
        <v/>
      </c>
      <c r="D79">
        <f>"} else {"</f>
        <v/>
      </c>
    </row>
    <row r="80">
      <c r="B80">
        <f>"    // below the bilge: linear across the flat of bottom"</f>
        <v/>
      </c>
      <c r="C80">
        <f>"    // below the bilge: linear across the flat of bottom"</f>
        <v/>
      </c>
      <c r="D80">
        <f>"    // below the bilge: linear across the flat of bottom"</f>
        <v/>
      </c>
    </row>
    <row r="81">
      <c r="B81">
        <f>"    alpha_i = alpha_4 + (alpha_2 - alpha_4) * (z + z_bilge) / (2 * z_bilge);"</f>
        <v/>
      </c>
      <c r="C81">
        <f>"    alpha_i = alpha_4 + (alpha_2 - alpha_4) * (z + z_bilge) / (2 * z_bilge);"</f>
        <v/>
      </c>
      <c r="D81">
        <f>"    alpha_i = alpha_4 + (alpha_2 - alpha_4) * (z + z_bilge) / (2 * z_bilge);"</f>
        <v/>
      </c>
    </row>
    <row r="82">
      <c r="B82">
        <f>"}"</f>
        <v/>
      </c>
      <c r="C82">
        <f>"}"</f>
        <v/>
      </c>
      <c r="D82">
        <f>"}"</f>
        <v/>
      </c>
    </row>
    <row r="83">
      <c r="B83">
        <f>"// 5.5.1: which side of the girth, and so which ESF"</f>
        <v/>
      </c>
      <c r="C83">
        <f>"// 5.5.1: which side of the girth, and so which ESF"</f>
        <v/>
      </c>
      <c r="D83">
        <f>"// 5.5.1: which side of the girth, and so which ESF"</f>
        <v/>
      </c>
    </row>
    <row r="84">
      <c r="B84">
        <f>"// the ESF is a property of the SIDE the point is on: EPS to starboard, EPP to port"</f>
        <v/>
      </c>
      <c r="C84">
        <f>"// the ESF is a property of the SIDE the point is on: EPS to starboard, EPP to port"</f>
        <v/>
      </c>
      <c r="D84">
        <f>"// the ESF is a property of the SIDE the point is on: EPS to starboard, EPP to port"</f>
        <v/>
      </c>
    </row>
    <row r="85">
      <c r="B85">
        <f>"var ESF_side = 0;"</f>
        <v/>
      </c>
      <c r="C85">
        <f>"var ESF_side = 0;"</f>
        <v/>
      </c>
      <c r="D85">
        <f>"var ESF_side = 0;"</f>
        <v/>
      </c>
    </row>
    <row r="86">
      <c r="B86">
        <f>"if (y &gt;= 0 m) ESF_side = beta_EPS * k_esf;"</f>
        <v/>
      </c>
      <c r="C86">
        <f>"if (y &gt;= 0 m) ESF_side = beta_EPS * k_esf;"</f>
        <v/>
      </c>
      <c r="D86">
        <f>"if (y &gt;= 0 m) ESF_side = beta_EPS * k_esf;"</f>
        <v/>
      </c>
    </row>
    <row r="87">
      <c r="B87">
        <f>"else          ESF_side = beta_EPP * k_esf;"</f>
        <v/>
      </c>
      <c r="C87">
        <f>"else          ESF_side = beta_EPP * k_esf;"</f>
        <v/>
      </c>
      <c r="D87">
        <f>"else          ESF_side = beta_EPP * k_esf;"</f>
        <v/>
      </c>
    </row>
    <row r="88">
      <c r="B88">
        <f>"var h_di = k_l * alpha_i * h_do;   // hydrodynamic head at the point evaluated (5.5.1)"</f>
        <v/>
      </c>
      <c r="C88">
        <f>"var h_di = k_l * alpha_i * h_do;   // hydrodynamic head at the point evaluated (5.5.1)"</f>
        <v/>
      </c>
      <c r="D88">
        <f>"var h_di = k_l * alpha_i * h_do;   // hydrodynamic head at the point evaluated (5.5.1)"</f>
        <v/>
      </c>
    </row>
    <row r="89">
      <c r="B89">
        <f>"var h_de = k_c * h_di;   // h_de = k_c h_di (5.5.1 nominal form)"</f>
        <v/>
      </c>
      <c r="C89">
        <f>"var h_de = k_c * h_di;   // h_de = k_c h_di (5.5.1 nominal form)"</f>
        <v/>
      </c>
      <c r="D89">
        <f>"var h_de = k_c * h_di;   // h_de = k_c h_di (5.5.1 nominal form)"</f>
        <v/>
      </c>
    </row>
    <row r="90">
      <c r="B90">
        <f>"var p_s = Math.max(rho_sea * g * (draft - z), 0 Pa);   // still-water pressure, zero above the waterline"</f>
        <v/>
      </c>
      <c r="C90">
        <f>"var p_s = Math.max(rho_sea * g * (draft - z), 0 Pa);   // still-water pressure, zero above the waterline"</f>
        <v/>
      </c>
      <c r="D90">
        <f>"var p_s = Math.max(rho_sea * g * (draft - z), 0 Pa);   // still-water pressure, zero above the waterline"</f>
        <v/>
      </c>
    </row>
    <row r="91">
      <c r="B91">
        <f>"var p_d = rho_sea * g * ESF_side * k_u * h_de;   // hydrodynamic pressure, with the ESF of the side the point is on"</f>
        <v/>
      </c>
      <c r="C91">
        <f>"var p_d = rho_sea * g * ESF_side * k_u * h_de;   // hydrodynamic pressure, with the ESF of the side the point is on"</f>
        <v/>
      </c>
      <c r="D91">
        <f>"var p_d = rho_sea * g * ESF_side * k_u * h_de;   // hydrodynamic pressure, with the ESF of the side the point is on"</f>
        <v/>
      </c>
    </row>
    <row r="92">
      <c r="B92">
        <f>"return Math.max(p_s + p_d, 0 Pa);   // the pressure the function returns"</f>
        <v/>
      </c>
      <c r="C92">
        <f>"return Math.max(p_s + p_d, 0 Pa);   // the pressure the function returns"</f>
        <v/>
      </c>
      <c r="D92">
        <f>"return Math.max(p_s + p_d, 0 Pa);   // the pressure the function returns"</f>
        <v/>
      </c>
    </row>
    <row r="93"/>
    <row r="94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X6"/>
  <sheetViews>
    <sheetView workbookViewId="0">
      <selection activeCell="A1" sqref="A1"/>
    </sheetView>
  </sheetViews>
  <sheetFormatPr baseColWidth="8" defaultRowHeight="15"/>
  <cols>
    <col width="20" customWidth="1" min="2" max="2"/>
    <col width="24" customWidth="1" min="3" max="3"/>
    <col width="63" customWidth="1" min="4" max="4"/>
    <col width="160" customWidth="1" min="5" max="5"/>
    <col width="160" customWidth="1" min="6" max="6"/>
    <col width="160" customWidth="1" min="7" max="7"/>
    <col width="160" customWidth="1" min="8" max="8"/>
    <col width="160" customWidth="1" min="9" max="9"/>
    <col width="160" customWidth="1" min="10" max="10"/>
    <col width="160" customWidth="1" min="11" max="11"/>
    <col width="160" customWidth="1" min="12" max="12"/>
    <col width="160" customWidth="1" min="13" max="13"/>
    <col width="160" customWidth="1" min="14" max="14"/>
    <col width="160" customWidth="1" min="15" max="15"/>
    <col width="160" customWidth="1" min="16" max="16"/>
    <col width="160" customWidth="1" min="17" max="17"/>
    <col width="160" customWidth="1" min="18" max="18"/>
    <col width="160" customWidth="1" min="19" max="19"/>
    <col width="160" customWidth="1" min="20" max="20"/>
    <col width="160" customWidth="1" min="21" max="21"/>
    <col width="160" customWidth="1" min="22" max="22"/>
    <col width="160" customWidth="1" min="23" max="23"/>
    <col width="160" customWidth="1" min="24" max="24"/>
  </cols>
  <sheetData>
    <row r="2">
      <c r="A2" s="18" t="inlineStr">
        <is>
          <t>EXT-T20.559-mu90-kf+1</t>
        </is>
      </c>
      <c r="B2">
        <f>"| 项目 | 值 | 出处 |"</f>
        <v/>
      </c>
      <c r="C2">
        <f>"| --- | --- | --- |"</f>
        <v/>
      </c>
      <c r="D2">
        <f>"| case_name | "&amp;'Local Parameter'!$E$1&amp;" | 工况名（Excel 表头） |"</f>
        <v/>
      </c>
      <c r="E2">
        <f>"| kind | "&amp;IF(ISBLANK(INDEX('Local Parameter'!$C:$C,MATCH("kind",'Local Parameter'!$A:$A,0))),"",INDEX('Local Parameter'!$C:$C,MATCH("kind",'Local Parameter'!$A:$A,0)))&amp;IF(ISBLANK(INDEX('Local Parameter'!$E:$E,MATCH("kind",'Local Parameter'!$A:$A,0))),"EXT",IF(INDEX('Local Parameter'!$E:$E,MATCH("kind",'Local Parameter'!$A:$A,0))="","EXT",INDEX('Local Parameter'!$E:$E,MATCH("kind",'Local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2">
        <f>"| draft | "&amp;IF(ISBLANK(INDEX('Local Parameter'!$C:$C,MATCH("draft",'Local Parameter'!$A:$A,0))),"",INDEX('Local Parameter'!$C:$C,MATCH("draft",'Local Parameter'!$A:$A,0)))&amp;IF(ISBLANK(INDEX('Local Parameter'!$E:$E,MATCH("draft",'Local Parameter'!$A:$A,0))),20.559,IF(INDEX('Local Parameter'!$E:$E,MATCH("draft",'Local Parameter'!$A:$A,0))="",20.559,INDEX('Local Parameter'!$E:$E,MATCH("draft",'Local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G2">
        <f>"| mu_deg | "&amp;IF(ISBLANK(INDEX('Local Parameter'!$C:$C,MATCH("mu_deg",'Local Parameter'!$A:$A,0))),"",INDEX('Local Parameter'!$C:$C,MATCH("mu_deg",'Local Parameter'!$A:$A,0)))&amp;IF(ISBLANK(INDEX('Local Parameter'!$E:$E,MATCH("mu_deg",'Local Parameter'!$A:$A,0))),90,IF(INDEX('Local Parameter'!$E:$E,MATCH("mu_deg",'Local Parameter'!$A:$A,0))="",90,INDEX('Local Parameter'!$E:$E,MATCH("mu_deg",'Local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H2">
        <f>"| k_c | "&amp;IF(ISBLANK(INDEX('Local Parameter'!$C:$C,MATCH("k_c",'Local Parameter'!$A:$A,0))),"",INDEX('Local Parameter'!$C:$C,MATCH("k_c",'Local Parameter'!$A:$A,0)))&amp;IF(ISBLANK(INDEX('Local Parameter'!$E:$E,MATCH("k_c",'Local Parameter'!$A:$A,0))),1,IF(INDEX('Local Parameter'!$E:$E,MATCH("k_c",'Local Parameter'!$A:$A,0))="",1,INDEX('Local Parameter'!$E:$E,MATCH("k_c",'Local Parameter'!$A:$A,0))))&amp;IF(ISBLANK(INDEX('Local Parameter'!$D:$D,MATCH("k_c",'Local Parameter'!$A:$A,0))),"",INDEX('Local Parameter'!$D:$D,MATCH("k_c",'Local Parameter'!$A:$A,0)))&amp;" | Table 1A B |"</f>
        <v/>
      </c>
      <c r="I2">
        <f>"| k_f0 | "&amp;IF(ISBLANK(INDEX('Local Parameter'!$C:$C,MATCH("k_f0",'Local Parameter'!$A:$A,0))),"",INDEX('Local Parameter'!$C:$C,MATCH("k_f0",'Local Parameter'!$A:$A,0)))&amp;IF(ISBLANK(INDEX('Local Parameter'!$E:$E,MATCH("k_f0",'Local Parameter'!$A:$A,0))),1,IF(INDEX('Local Parameter'!$E:$E,MATCH("k_f0",'Local Parameter'!$A:$A,0))="",1,INDEX('Local Parameter'!$E:$E,MATCH("k_f0",'Local Parameter'!$A:$A,0))))&amp;IF(ISBLANK(INDEX('Local Parameter'!$D:$D,MATCH("k_f0",'Local Parameter'!$A:$A,0))),"",INDEX('Local Parameter'!$D:$D,MATCH("k_f0",'Local Parameter'!$A:$A,0)))&amp;" | Table 1A B |"</f>
        <v/>
      </c>
      <c r="J2">
        <f>"| k_u | "&amp;IF(ISBLANK(INDEX('Local Parameter'!$C:$C,MATCH("k_u",'Local Parameter'!$A:$A,0))),"",INDEX('Local Parameter'!$C:$C,MATCH("k_u",'Local Parameter'!$A:$A,0)))&amp;IF(ISBLANK(INDEX('Local Parameter'!$E:$E,MATCH("k_u",'Local Parameter'!$A:$A,0))),1.1,IF(INDEX('Local Parameter'!$E:$E,MATCH("k_u",'Local Parameter'!$A:$A,0))="",1.1,INDEX('Local Parameter'!$E:$E,MATCH("k_u",'Local Parameter'!$A:$A,0))))&amp;IF(ISBLANK(INDEX('Local Parameter'!$D:$D,MATCH("k_u",'Local Parameter'!$A:$A,0))),"",INDEX('Local Parameter'!$D:$D,MATCH("k_u",'Local Parameter'!$A:$A,0)))&amp;" | 5A-3-2/7, /9 |"</f>
        <v/>
      </c>
      <c r="K2">
        <f>"| beta_EPS | "&amp;IF(ISBLANK(INDEX('Local Parameter'!$C:$C,MATCH("beta_EPS",'Local Parameter'!$A:$A,0))),"",INDEX('Local Parameter'!$C:$C,MATCH("beta_EPS",'Local Parameter'!$A:$A,0)))&amp;IF(ISBLANK(INDEX('Local Parameter'!$E:$E,MATCH("beta_EPS",'Local Parameter'!$A:$A,0))),0.733,IF(INDEX('Local Parameter'!$E:$E,MATCH("beta_EPS",'Local Parameter'!$A:$A,0))="",0.733,INDEX('Local Parameter'!$E:$E,MATCH("beta_EPS",'Local Parameter'!$A:$A,0))))&amp;IF(ISBLANK(INDEX('Local Parameter'!$D:$D,MATCH("beta_EPS",'Local Parameter'!$A:$A,0))),"",INDEX('Local Parameter'!$D:$D,MATCH("beta_EPS",'Local Parameter'!$A:$A,0)))&amp;" | 5A-3-A1/3 |"</f>
        <v/>
      </c>
      <c r="L2">
        <f>"| beta_EPP | "&amp;IF(ISBLANK(INDEX('Local Parameter'!$C:$C,MATCH("beta_EPP",'Local Parameter'!$A:$A,0))),"",INDEX('Local Parameter'!$C:$C,MATCH("beta_EPP",'Local Parameter'!$A:$A,0)))&amp;IF(ISBLANK(INDEX('Local Parameter'!$E:$E,MATCH("beta_EPP",'Local Parameter'!$A:$A,0))),0.733,IF(INDEX('Local Parameter'!$E:$E,MATCH("beta_EPP",'Local Parameter'!$A:$A,0))="",0.733,INDEX('Local Parameter'!$E:$E,MATCH("beta_EPP",'Local Parameter'!$A:$A,0))))&amp;IF(ISBLANK(INDEX('Local Parameter'!$D:$D,MATCH("beta_EPP",'Local Parameter'!$A:$A,0))),"",INDEX('Local Parameter'!$D:$D,MATCH("beta_EPP",'Local Parameter'!$A:$A,0)))&amp;" | 5A-3-A1/3 |"</f>
        <v/>
      </c>
      <c r="M2">
        <f>"| k_esf | "&amp;IF(ISBLANK(INDEX('Local Parameter'!$C:$C,MATCH("k_esf",'Local Parameter'!$A:$A,0))),"",INDEX('Local Parameter'!$C:$C,MATCH("k_esf",'Local Parameter'!$A:$A,0)))&amp;IF(ISBLANK(INDEX('Local Parameter'!$E:$E,MATCH("k_esf",'Local Parameter'!$A:$A,0))),1.1,IF(INDEX('Local Parameter'!$E:$E,MATCH("k_esf",'Local Parameter'!$A:$A,0))="",1.1,INDEX('Local Parameter'!$E:$E,MATCH("k_esf",'Local Parameter'!$A:$A,0))))&amp;IF(ISBLANK(INDEX('Local Parameter'!$D:$D,MATCH("k_esf",'Local Parameter'!$A:$A,0))),"",INDEX('Local Parameter'!$D:$D,MATCH("k_esf",'Local Parameter'!$A:$A,0)))&amp;" | 项目 |"</f>
        <v/>
      </c>
      <c r="N2">
        <f>"| x_o | "&amp;IF(ISBLANK(INDEX('Local Parameter'!$C:$C,MATCH("x_o",'Local Parameter'!$A:$A,0))),"",INDEX('Local Parameter'!$C:$C,MATCH("x_o",'Local Parameter'!$A:$A,0)))&amp;IF(ISBLANK(INDEX('Local Parameter'!$E:$E,MATCH("x_o",'Local Parameter'!$A:$A,0))),51,IF(INDEX('Local Parameter'!$E:$E,MATCH("x_o",'Local Parameter'!$A:$A,0))="",51,INDEX('Local Parameter'!$E:$E,MATCH("x_o",'Local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 | Fig. 9 脚注 |"</f>
        <v/>
      </c>
      <c r="O2">
        <f>"| L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| 3-1-1/3 |"</f>
        <v/>
      </c>
      <c r="P2">
        <f>"| B |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| 3-1-1/3 |"</f>
        <v/>
      </c>
      <c r="Q2">
        <f>"| D |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| 3-1-1/3 |"</f>
        <v/>
      </c>
      <c r="R2">
        <f>"| r_b |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 | Fig. 11 |"</f>
        <v/>
      </c>
      <c r="S2">
        <f>"| freeboard |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 | Fig. 10 |"</f>
        <v/>
      </c>
      <c r="T2">
        <f>"| rho_sea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| 5.5.1 |"</f>
        <v/>
      </c>
      <c r="U2">
        <f>"| g |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| 5.5.1 |"</f>
        <v/>
      </c>
      <c r="V2">
        <f>"| Cb |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3-1-1/13.3 |"</f>
        <v/>
      </c>
      <c r="W2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X2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3">
      <c r="A3" s="18" t="inlineStr">
        <is>
          <t>EXT-T15-mu0-kf-1</t>
        </is>
      </c>
      <c r="B3">
        <f>"| 项目 | 值 | 出处 |"</f>
        <v/>
      </c>
      <c r="C3">
        <f>"| --- | --- | --- |"</f>
        <v/>
      </c>
      <c r="D3">
        <f>"| case_name | "&amp;'Local Parameter'!$F$1&amp;" | 工况名（Excel 表头） |"</f>
        <v/>
      </c>
      <c r="E3">
        <f>"| kind | "&amp;IF(ISBLANK(INDEX('Local Parameter'!$C:$C,MATCH("kind",'Local Parameter'!$A:$A,0))),"",INDEX('Local Parameter'!$C:$C,MATCH("kind",'Local Parameter'!$A:$A,0)))&amp;IF(ISBLANK(INDEX('Local Parameter'!$F:$F,MATCH("kind",'Local Parameter'!$A:$A,0))),"EXT",IF(INDEX('Local Parameter'!$F:$F,MATCH("kind",'Local Parameter'!$A:$A,0))="","EXT",INDEX('Local Parameter'!$F:$F,MATCH("kind",'Local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3">
        <f>"| draft | "&amp;IF(ISBLANK(INDEX('Local Parameter'!$C:$C,MATCH("draft",'Local Parameter'!$A:$A,0))),"",INDEX('Local Parameter'!$C:$C,MATCH("draft",'Local Parameter'!$A:$A,0)))&amp;IF(ISBLANK(INDEX('Local Parameter'!$F:$F,MATCH("draft",'Local Parameter'!$A:$A,0))),20.559,IF(INDEX('Local Parameter'!$F:$F,MATCH("draft",'Local Parameter'!$A:$A,0))="",20.559,INDEX('Local Parameter'!$F:$F,MATCH("draft",'Local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G3">
        <f>"| mu_deg | "&amp;IF(ISBLANK(INDEX('Local Parameter'!$C:$C,MATCH("mu_deg",'Local Parameter'!$A:$A,0))),"",INDEX('Local Parameter'!$C:$C,MATCH("mu_deg",'Local Parameter'!$A:$A,0)))&amp;IF(ISBLANK(INDEX('Local Parameter'!$F:$F,MATCH("mu_deg",'Local Parameter'!$A:$A,0))),90,IF(INDEX('Local Parameter'!$F:$F,MATCH("mu_deg",'Local Parameter'!$A:$A,0))="",90,INDEX('Local Parameter'!$F:$F,MATCH("mu_deg",'Local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H3">
        <f>"| k_c | "&amp;IF(ISBLANK(INDEX('Local Parameter'!$C:$C,MATCH("k_c",'Local Parameter'!$A:$A,0))),"",INDEX('Local Parameter'!$C:$C,MATCH("k_c",'Local Parameter'!$A:$A,0)))&amp;IF(ISBLANK(INDEX('Local Parameter'!$F:$F,MATCH("k_c",'Local Parameter'!$A:$A,0))),1,IF(INDEX('Local Parameter'!$F:$F,MATCH("k_c",'Local Parameter'!$A:$A,0))="",1,INDEX('Local Parameter'!$F:$F,MATCH("k_c",'Local Parameter'!$A:$A,0))))&amp;IF(ISBLANK(INDEX('Local Parameter'!$D:$D,MATCH("k_c",'Local Parameter'!$A:$A,0))),"",INDEX('Local Parameter'!$D:$D,MATCH("k_c",'Local Parameter'!$A:$A,0)))&amp;" | Table 1A B |"</f>
        <v/>
      </c>
      <c r="I3">
        <f>"| k_f0 | "&amp;IF(ISBLANK(INDEX('Local Parameter'!$C:$C,MATCH("k_f0",'Local Parameter'!$A:$A,0))),"",INDEX('Local Parameter'!$C:$C,MATCH("k_f0",'Local Parameter'!$A:$A,0)))&amp;IF(ISBLANK(INDEX('Local Parameter'!$F:$F,MATCH("k_f0",'Local Parameter'!$A:$A,0))),1,IF(INDEX('Local Parameter'!$F:$F,MATCH("k_f0",'Local Parameter'!$A:$A,0))="",1,INDEX('Local Parameter'!$F:$F,MATCH("k_f0",'Local Parameter'!$A:$A,0))))&amp;IF(ISBLANK(INDEX('Local Parameter'!$D:$D,MATCH("k_f0",'Local Parameter'!$A:$A,0))),"",INDEX('Local Parameter'!$D:$D,MATCH("k_f0",'Local Parameter'!$A:$A,0)))&amp;" | Table 1A B |"</f>
        <v/>
      </c>
      <c r="J3">
        <f>"| k_u | "&amp;IF(ISBLANK(INDEX('Local Parameter'!$C:$C,MATCH("k_u",'Local Parameter'!$A:$A,0))),"",INDEX('Local Parameter'!$C:$C,MATCH("k_u",'Local Parameter'!$A:$A,0)))&amp;IF(ISBLANK(INDEX('Local Parameter'!$F:$F,MATCH("k_u",'Local Parameter'!$A:$A,0))),1.1,IF(INDEX('Local Parameter'!$F:$F,MATCH("k_u",'Local Parameter'!$A:$A,0))="",1.1,INDEX('Local Parameter'!$F:$F,MATCH("k_u",'Local Parameter'!$A:$A,0))))&amp;IF(ISBLANK(INDEX('Local Parameter'!$D:$D,MATCH("k_u",'Local Parameter'!$A:$A,0))),"",INDEX('Local Parameter'!$D:$D,MATCH("k_u",'Local Parameter'!$A:$A,0)))&amp;" | 5A-3-2/7, /9 |"</f>
        <v/>
      </c>
      <c r="K3">
        <f>"| beta_EPS | "&amp;IF(ISBLANK(INDEX('Local Parameter'!$C:$C,MATCH("beta_EPS",'Local Parameter'!$A:$A,0))),"",INDEX('Local Parameter'!$C:$C,MATCH("beta_EPS",'Local Parameter'!$A:$A,0)))&amp;IF(ISBLANK(INDEX('Local Parameter'!$F:$F,MATCH("beta_EPS",'Local Parameter'!$A:$A,0))),0.733,IF(INDEX('Local Parameter'!$F:$F,MATCH("beta_EPS",'Local Parameter'!$A:$A,0))="",0.733,INDEX('Local Parameter'!$F:$F,MATCH("beta_EPS",'Local Parameter'!$A:$A,0))))&amp;IF(ISBLANK(INDEX('Local Parameter'!$D:$D,MATCH("beta_EPS",'Local Parameter'!$A:$A,0))),"",INDEX('Local Parameter'!$D:$D,MATCH("beta_EPS",'Local Parameter'!$A:$A,0)))&amp;" | 5A-3-A1/3 |"</f>
        <v/>
      </c>
      <c r="L3">
        <f>"| beta_EPP | "&amp;IF(ISBLANK(INDEX('Local Parameter'!$C:$C,MATCH("beta_EPP",'Local Parameter'!$A:$A,0))),"",INDEX('Local Parameter'!$C:$C,MATCH("beta_EPP",'Local Parameter'!$A:$A,0)))&amp;IF(ISBLANK(INDEX('Local Parameter'!$F:$F,MATCH("beta_EPP",'Local Parameter'!$A:$A,0))),0.733,IF(INDEX('Local Parameter'!$F:$F,MATCH("beta_EPP",'Local Parameter'!$A:$A,0))="",0.733,INDEX('Local Parameter'!$F:$F,MATCH("beta_EPP",'Local Parameter'!$A:$A,0))))&amp;IF(ISBLANK(INDEX('Local Parameter'!$D:$D,MATCH("beta_EPP",'Local Parameter'!$A:$A,0))),"",INDEX('Local Parameter'!$D:$D,MATCH("beta_EPP",'Local Parameter'!$A:$A,0)))&amp;" | 5A-3-A1/3 |"</f>
        <v/>
      </c>
      <c r="M3">
        <f>"| k_esf | "&amp;IF(ISBLANK(INDEX('Local Parameter'!$C:$C,MATCH("k_esf",'Local Parameter'!$A:$A,0))),"",INDEX('Local Parameter'!$C:$C,MATCH("k_esf",'Local Parameter'!$A:$A,0)))&amp;IF(ISBLANK(INDEX('Local Parameter'!$F:$F,MATCH("k_esf",'Local Parameter'!$A:$A,0))),1.1,IF(INDEX('Local Parameter'!$F:$F,MATCH("k_esf",'Local Parameter'!$A:$A,0))="",1.1,INDEX('Local Parameter'!$F:$F,MATCH("k_esf",'Local Parameter'!$A:$A,0))))&amp;IF(ISBLANK(INDEX('Local Parameter'!$D:$D,MATCH("k_esf",'Local Parameter'!$A:$A,0))),"",INDEX('Local Parameter'!$D:$D,MATCH("k_esf",'Local Parameter'!$A:$A,0)))&amp;" | 项目 |"</f>
        <v/>
      </c>
      <c r="N3">
        <f>"| x_o | "&amp;IF(ISBLANK(INDEX('Local Parameter'!$C:$C,MATCH("x_o",'Local Parameter'!$A:$A,0))),"",INDEX('Local Parameter'!$C:$C,MATCH("x_o",'Local Parameter'!$A:$A,0)))&amp;IF(ISBLANK(INDEX('Local Parameter'!$F:$F,MATCH("x_o",'Local Parameter'!$A:$A,0))),51,IF(INDEX('Local Parameter'!$F:$F,MATCH("x_o",'Local Parameter'!$A:$A,0))="",51,INDEX('Local Parameter'!$F:$F,MATCH("x_o",'Local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 | Fig. 9 脚注 |"</f>
        <v/>
      </c>
      <c r="O3">
        <f>"| L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| 3-1-1/3 |"</f>
        <v/>
      </c>
      <c r="P3">
        <f>"| B |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| 3-1-1/3 |"</f>
        <v/>
      </c>
      <c r="Q3">
        <f>"| D |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| 3-1-1/3 |"</f>
        <v/>
      </c>
      <c r="R3">
        <f>"| r_b |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 | Fig. 11 |"</f>
        <v/>
      </c>
      <c r="S3">
        <f>"| freeboard |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 | Fig. 10 |"</f>
        <v/>
      </c>
      <c r="T3">
        <f>"| rho_sea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| 5.5.1 |"</f>
        <v/>
      </c>
      <c r="U3">
        <f>"| g |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| 5.5.1 |"</f>
        <v/>
      </c>
      <c r="V3">
        <f>"| Cb |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3-1-1/13.3 |"</f>
        <v/>
      </c>
      <c r="W3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X3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4">
      <c r="A4" s="18" t="inlineStr">
        <is>
          <t>EXT-T15-mu90-kf+1</t>
        </is>
      </c>
      <c r="B4">
        <f>"| 项目 | 值 | 出处 |"</f>
        <v/>
      </c>
      <c r="C4">
        <f>"| --- | --- | --- |"</f>
        <v/>
      </c>
      <c r="D4">
        <f>"| case_name | "&amp;'Local Parameter'!$G$1&amp;" | 工况名（Excel 表头） |"</f>
        <v/>
      </c>
      <c r="E4">
        <f>"| kind | "&amp;IF(ISBLANK(INDEX('Local Parameter'!$C:$C,MATCH("kind",'Local Parameter'!$A:$A,0))),"",INDEX('Local Parameter'!$C:$C,MATCH("kind",'Local Parameter'!$A:$A,0)))&amp;IF(ISBLANK(INDEX('Local Parameter'!$G:$G,MATCH("kind",'Local Parameter'!$A:$A,0))),"EXT",IF(INDEX('Local Parameter'!$G:$G,MATCH("kind",'Local Parameter'!$A:$A,0))="","EXT",INDEX('Local Parameter'!$G:$G,MATCH("kind",'Local Parameter'!$A:$A,0))))&amp;IF(ISBLANK(INDEX('Local Parameter'!$D:$D,MATCH("kind",'Local Parameter'!$A:$A,0))),"",INDEX('Local Parameter'!$D:$D,MATCH("kind",'Local Parameter'!$A:$A,0)))&amp;" | 规则集（多规则集共用一本工作簿时用 case_filter 分流） |"</f>
        <v/>
      </c>
      <c r="F4">
        <f>"| draft | "&amp;IF(ISBLANK(INDEX('Local Parameter'!$C:$C,MATCH("draft",'Local Parameter'!$A:$A,0))),"",INDEX('Local Parameter'!$C:$C,MATCH("draft",'Local Parameter'!$A:$A,0)))&amp;IF(ISBLANK(INDEX('Local Parameter'!$G:$G,MATCH("draft",'Local Parameter'!$A:$A,0))),20.559,IF(INDEX('Local Parameter'!$G:$G,MATCH("draft",'Local Parameter'!$A:$A,0))="",20.559,INDEX('Local Parameter'!$G:$G,MATCH("draft",'Local Parameter'!$A:$A,0))))&amp;IF(ISBLANK(INDEX('Local Parameter'!$D:$D,MATCH("draft",'Local Parameter'!$A:$A,0)))," m",IF(INDEX('Local Parameter'!$D:$D,MATCH("draft",'Local Parameter'!$A:$A,0))=""," m",INDEX('Local Parameter'!$D:$D,MATCH("draft",'Local Parameter'!$A:$A,0))))&amp;" | 装载工况 |"</f>
        <v/>
      </c>
      <c r="G4">
        <f>"| mu_deg | "&amp;IF(ISBLANK(INDEX('Local Parameter'!$C:$C,MATCH("mu_deg",'Local Parameter'!$A:$A,0))),"",INDEX('Local Parameter'!$C:$C,MATCH("mu_deg",'Local Parameter'!$A:$A,0)))&amp;IF(ISBLANK(INDEX('Local Parameter'!$G:$G,MATCH("mu_deg",'Local Parameter'!$A:$A,0))),90,IF(INDEX('Local Parameter'!$G:$G,MATCH("mu_deg",'Local Parameter'!$A:$A,0))="",90,INDEX('Local Parameter'!$G:$G,MATCH("mu_deg",'Local Parameter'!$A:$A,0))))&amp;IF(ISBLANK(INDEX('Local Parameter'!$D:$D,MATCH("mu_deg",'Local Parameter'!$A:$A,0)))," deg",IF(INDEX('Local Parameter'!$D:$D,MATCH("mu_deg",'Local Parameter'!$A:$A,0))=""," deg",INDEX('Local Parameter'!$D:$D,MATCH("mu_deg",'Local Parameter'!$A:$A,0))))&amp;" | Table 1A D |"</f>
        <v/>
      </c>
      <c r="H4">
        <f>"| k_c | "&amp;IF(ISBLANK(INDEX('Local Parameter'!$C:$C,MATCH("k_c",'Local Parameter'!$A:$A,0))),"",INDEX('Local Parameter'!$C:$C,MATCH("k_c",'Local Parameter'!$A:$A,0)))&amp;IF(ISBLANK(INDEX('Local Parameter'!$G:$G,MATCH("k_c",'Local Parameter'!$A:$A,0))),1,IF(INDEX('Local Parameter'!$G:$G,MATCH("k_c",'Local Parameter'!$A:$A,0))="",1,INDEX('Local Parameter'!$G:$G,MATCH("k_c",'Local Parameter'!$A:$A,0))))&amp;IF(ISBLANK(INDEX('Local Parameter'!$D:$D,MATCH("k_c",'Local Parameter'!$A:$A,0))),"",INDEX('Local Parameter'!$D:$D,MATCH("k_c",'Local Parameter'!$A:$A,0)))&amp;" | Table 1A B |"</f>
        <v/>
      </c>
      <c r="I4">
        <f>"| k_f0 | "&amp;IF(ISBLANK(INDEX('Local Parameter'!$C:$C,MATCH("k_f0",'Local Parameter'!$A:$A,0))),"",INDEX('Local Parameter'!$C:$C,MATCH("k_f0",'Local Parameter'!$A:$A,0)))&amp;IF(ISBLANK(INDEX('Local Parameter'!$G:$G,MATCH("k_f0",'Local Parameter'!$A:$A,0))),1,IF(INDEX('Local Parameter'!$G:$G,MATCH("k_f0",'Local Parameter'!$A:$A,0))="",1,INDEX('Local Parameter'!$G:$G,MATCH("k_f0",'Local Parameter'!$A:$A,0))))&amp;IF(ISBLANK(INDEX('Local Parameter'!$D:$D,MATCH("k_f0",'Local Parameter'!$A:$A,0))),"",INDEX('Local Parameter'!$D:$D,MATCH("k_f0",'Local Parameter'!$A:$A,0)))&amp;" | Table 1A B |"</f>
        <v/>
      </c>
      <c r="J4">
        <f>"| k_u | "&amp;IF(ISBLANK(INDEX('Local Parameter'!$C:$C,MATCH("k_u",'Local Parameter'!$A:$A,0))),"",INDEX('Local Parameter'!$C:$C,MATCH("k_u",'Local Parameter'!$A:$A,0)))&amp;IF(ISBLANK(INDEX('Local Parameter'!$G:$G,MATCH("k_u",'Local Parameter'!$A:$A,0))),1.1,IF(INDEX('Local Parameter'!$G:$G,MATCH("k_u",'Local Parameter'!$A:$A,0))="",1.1,INDEX('Local Parameter'!$G:$G,MATCH("k_u",'Local Parameter'!$A:$A,0))))&amp;IF(ISBLANK(INDEX('Local Parameter'!$D:$D,MATCH("k_u",'Local Parameter'!$A:$A,0))),"",INDEX('Local Parameter'!$D:$D,MATCH("k_u",'Local Parameter'!$A:$A,0)))&amp;" | 5A-3-2/7, /9 |"</f>
        <v/>
      </c>
      <c r="K4">
        <f>"| beta_EPS | "&amp;IF(ISBLANK(INDEX('Local Parameter'!$C:$C,MATCH("beta_EPS",'Local Parameter'!$A:$A,0))),"",INDEX('Local Parameter'!$C:$C,MATCH("beta_EPS",'Local Parameter'!$A:$A,0)))&amp;IF(ISBLANK(INDEX('Local Parameter'!$G:$G,MATCH("beta_EPS",'Local Parameter'!$A:$A,0))),0.733,IF(INDEX('Local Parameter'!$G:$G,MATCH("beta_EPS",'Local Parameter'!$A:$A,0))="",0.733,INDEX('Local Parameter'!$G:$G,MATCH("beta_EPS",'Local Parameter'!$A:$A,0))))&amp;IF(ISBLANK(INDEX('Local Parameter'!$D:$D,MATCH("beta_EPS",'Local Parameter'!$A:$A,0))),"",INDEX('Local Parameter'!$D:$D,MATCH("beta_EPS",'Local Parameter'!$A:$A,0)))&amp;" | 5A-3-A1/3 |"</f>
        <v/>
      </c>
      <c r="L4">
        <f>"| beta_EPP | "&amp;IF(ISBLANK(INDEX('Local Parameter'!$C:$C,MATCH("beta_EPP",'Local Parameter'!$A:$A,0))),"",INDEX('Local Parameter'!$C:$C,MATCH("beta_EPP",'Local Parameter'!$A:$A,0)))&amp;IF(ISBLANK(INDEX('Local Parameter'!$G:$G,MATCH("beta_EPP",'Local Parameter'!$A:$A,0))),0.733,IF(INDEX('Local Parameter'!$G:$G,MATCH("beta_EPP",'Local Parameter'!$A:$A,0))="",0.733,INDEX('Local Parameter'!$G:$G,MATCH("beta_EPP",'Local Parameter'!$A:$A,0))))&amp;IF(ISBLANK(INDEX('Local Parameter'!$D:$D,MATCH("beta_EPP",'Local Parameter'!$A:$A,0))),"",INDEX('Local Parameter'!$D:$D,MATCH("beta_EPP",'Local Parameter'!$A:$A,0)))&amp;" | 5A-3-A1/3 |"</f>
        <v/>
      </c>
      <c r="M4">
        <f>"| k_esf | "&amp;IF(ISBLANK(INDEX('Local Parameter'!$C:$C,MATCH("k_esf",'Local Parameter'!$A:$A,0))),"",INDEX('Local Parameter'!$C:$C,MATCH("k_esf",'Local Parameter'!$A:$A,0)))&amp;IF(ISBLANK(INDEX('Local Parameter'!$G:$G,MATCH("k_esf",'Local Parameter'!$A:$A,0))),1.1,IF(INDEX('Local Parameter'!$G:$G,MATCH("k_esf",'Local Parameter'!$A:$A,0))="",1.1,INDEX('Local Parameter'!$G:$G,MATCH("k_esf",'Local Parameter'!$A:$A,0))))&amp;IF(ISBLANK(INDEX('Local Parameter'!$D:$D,MATCH("k_esf",'Local Parameter'!$A:$A,0))),"",INDEX('Local Parameter'!$D:$D,MATCH("k_esf",'Local Parameter'!$A:$A,0)))&amp;" | 项目 |"</f>
        <v/>
      </c>
      <c r="N4">
        <f>"| x_o | "&amp;IF(ISBLANK(INDEX('Local Parameter'!$C:$C,MATCH("x_o",'Local Parameter'!$A:$A,0))),"",INDEX('Local Parameter'!$C:$C,MATCH("x_o",'Local Parameter'!$A:$A,0)))&amp;IF(ISBLANK(INDEX('Local Parameter'!$G:$G,MATCH("x_o",'Local Parameter'!$A:$A,0))),51,IF(INDEX('Local Parameter'!$G:$G,MATCH("x_o",'Local Parameter'!$A:$A,0))="",51,INDEX('Local Parameter'!$G:$G,MATCH("x_o",'Local Parameter'!$A:$A,0))))&amp;IF(ISBLANK(INDEX('Local Parameter'!$D:$D,MATCH("x_o",'Local Parameter'!$A:$A,0)))," m",IF(INDEX('Local Parameter'!$D:$D,MATCH("x_o",'Local Parameter'!$A:$A,0))=""," m",INDEX('Local Parameter'!$D:$D,MATCH("x_o",'Local Parameter'!$A:$A,0))))&amp;" | Fig. 9 脚注 |"</f>
        <v/>
      </c>
      <c r="O4">
        <f>"| L | "&amp;IF(ISBLANK(INDEX('Global Parameter'!$D:$D,MATCH("L",'Global Parameter'!$A:$A,0))),"",INDEX('Global Parameter'!$D:$D,MATCH("L",'Global Parameter'!$A:$A,0)))&amp;IF(ISBLANK(INDEX('Global Parameter'!$B:$B,MATCH("L",'Global Parameter'!$A:$A,0))),340,IF(INDEX('Global Parameter'!$B:$B,MATCH("L",'Global Parameter'!$A:$A,0))="",340,INDEX('Global Parameter'!$B:$B,MATCH("L",'Global Parameter'!$A:$A,0))))&amp;IF(ISBLANK(INDEX('Global Parameter'!$E:$E,MATCH("L",'Global Parameter'!$A:$A,0)))," m",IF(INDEX('Global Parameter'!$E:$E,MATCH("L",'Global Parameter'!$A:$A,0))=""," m",INDEX('Global Parameter'!$E:$E,MATCH("L",'Global Parameter'!$A:$A,0))))&amp;" | 3-1-1/3 |"</f>
        <v/>
      </c>
      <c r="P4">
        <f>"| B | "&amp;IF(ISBLANK(INDEX('Global Parameter'!$D:$D,MATCH("B",'Global Parameter'!$A:$A,0))),"",INDEX('Global Parameter'!$D:$D,MATCH("B",'Global Parameter'!$A:$A,0)))&amp;IF(ISBLANK(INDEX('Global Parameter'!$B:$B,MATCH("B",'Global Parameter'!$A:$A,0))),64,IF(INDEX('Global Parameter'!$B:$B,MATCH("B",'Global Parameter'!$A:$A,0))="",64,INDEX('Global Parameter'!$B:$B,MATCH("B",'Global Parameter'!$A:$A,0))))&amp;IF(ISBLANK(INDEX('Global Parameter'!$E:$E,MATCH("B",'Global Parameter'!$A:$A,0)))," m",IF(INDEX('Global Parameter'!$E:$E,MATCH("B",'Global Parameter'!$A:$A,0))=""," m",INDEX('Global Parameter'!$E:$E,MATCH("B",'Global Parameter'!$A:$A,0))))&amp;" | 3-1-1/3 |"</f>
        <v/>
      </c>
      <c r="Q4">
        <f>"| D | "&amp;IF(ISBLANK(INDEX('Global Parameter'!$D:$D,MATCH("D",'Global Parameter'!$A:$A,0))),"",INDEX('Global Parameter'!$D:$D,MATCH("D",'Global Parameter'!$A:$A,0)))&amp;IF(ISBLANK(INDEX('Global Parameter'!$B:$B,MATCH("D",'Global Parameter'!$A:$A,0))),32,IF(INDEX('Global Parameter'!$B:$B,MATCH("D",'Global Parameter'!$A:$A,0))="",32,INDEX('Global Parameter'!$B:$B,MATCH("D",'Global Parameter'!$A:$A,0))))&amp;IF(ISBLANK(INDEX('Global Parameter'!$E:$E,MATCH("D",'Global Parameter'!$A:$A,0)))," m",IF(INDEX('Global Parameter'!$E:$E,MATCH("D",'Global Parameter'!$A:$A,0))=""," m",INDEX('Global Parameter'!$E:$E,MATCH("D",'Global Parameter'!$A:$A,0))))&amp;" | 3-1-1/3 |"</f>
        <v/>
      </c>
      <c r="R4">
        <f>"| r_b | "&amp;IF(ISBLANK(INDEX('Global Parameter'!$D:$D,MATCH("r_b",'Global Parameter'!$A:$A,0))),"",INDEX('Global Parameter'!$D:$D,MATCH("r_b",'Global Parameter'!$A:$A,0)))&amp;IF(ISBLANK(INDEX('Global Parameter'!$B:$B,MATCH("r_b",'Global Parameter'!$A:$A,0))),0.703,IF(INDEX('Global Parameter'!$B:$B,MATCH("r_b",'Global Parameter'!$A:$A,0))="",0.703,INDEX('Global Parameter'!$B:$B,MATCH("r_b",'Global Parameter'!$A:$A,0))))&amp;IF(ISBLANK(INDEX('Global Parameter'!$E:$E,MATCH("r_b",'Global Parameter'!$A:$A,0)))," m",IF(INDEX('Global Parameter'!$E:$E,MATCH("r_b",'Global Parameter'!$A:$A,0))=""," m",INDEX('Global Parameter'!$E:$E,MATCH("r_b",'Global Parameter'!$A:$A,0))))&amp;" | Fig. 11 |"</f>
        <v/>
      </c>
      <c r="S4">
        <f>"| freeboard | "&amp;IF(ISBLANK(INDEX('Global Parameter'!$D:$D,MATCH("freeboard",'Global Parameter'!$A:$A,0))),"",INDEX('Global Parameter'!$D:$D,MATCH("freeboard",'Global Parameter'!$A:$A,0)))&amp;IF(ISBLANK(INDEX('Global Parameter'!$B:$B,MATCH("freeboard",'Global Parameter'!$A:$A,0))),0.5,IF(INDEX('Global Parameter'!$B:$B,MATCH("freeboard",'Global Parameter'!$A:$A,0))="",0.5,INDEX('Global Parameter'!$B:$B,MATCH("freeboard",'Global Parameter'!$A:$A,0))))&amp;IF(ISBLANK(INDEX('Global Parameter'!$E:$E,MATCH("freeboard",'Global Parameter'!$A:$A,0)))," m",IF(INDEX('Global Parameter'!$E:$E,MATCH("freeboard",'Global Parameter'!$A:$A,0))=""," m",INDEX('Global Parameter'!$E:$E,MATCH("freeboard",'Global Parameter'!$A:$A,0))))&amp;" | Fig. 10 |"</f>
        <v/>
      </c>
      <c r="T4">
        <f>"| rho_sea | "&amp;IF(ISBLANK(INDEX('Global Parameter'!$D:$D,MATCH("rho_sea",'Global Parameter'!$A:$A,0))),"",INDEX('Global Parameter'!$D:$D,MATCH("rho_sea",'Global Parameter'!$A:$A,0)))&amp;IF(ISBLANK(INDEX('Global Parameter'!$B:$B,MATCH("rho_sea",'Global Parameter'!$A:$A,0))),1025,IF(INDEX('Global Parameter'!$B:$B,MATCH("rho_sea",'Global Parameter'!$A:$A,0))="",1025,INDEX('Global Parameter'!$B:$B,MATCH("rho_sea",'Global Parameter'!$A:$A,0))))&amp;IF(ISBLANK(INDEX('Global Parameter'!$E:$E,MATCH("rho_sea",'Global Parameter'!$A:$A,0)))," kg/m^3",IF(INDEX('Global Parameter'!$E:$E,MATCH("rho_sea",'Global Parameter'!$A:$A,0))=""," kg/m^3",INDEX('Global Parameter'!$E:$E,MATCH("rho_sea",'Global Parameter'!$A:$A,0))))&amp;" | 5.5.1 |"</f>
        <v/>
      </c>
      <c r="U4">
        <f>"| g | "&amp;IF(ISBLANK(INDEX('Global Parameter'!$D:$D,MATCH("g",'Global Parameter'!$A:$A,0))),"",INDEX('Global Parameter'!$D:$D,MATCH("g",'Global Parameter'!$A:$A,0)))&amp;IF(ISBLANK(INDEX('Global Parameter'!$B:$B,MATCH("g",'Global Parameter'!$A:$A,0))),9.81,IF(INDEX('Global Parameter'!$B:$B,MATCH("g",'Global Parameter'!$A:$A,0))="",9.81,INDEX('Global Parameter'!$B:$B,MATCH("g",'Global Parameter'!$A:$A,0))))&amp;IF(ISBLANK(INDEX('Global Parameter'!$E:$E,MATCH("g",'Global Parameter'!$A:$A,0)))," m/s^2",IF(INDEX('Global Parameter'!$E:$E,MATCH("g",'Global Parameter'!$A:$A,0))=""," m/s^2",INDEX('Global Parameter'!$E:$E,MATCH("g",'Global Parameter'!$A:$A,0))))&amp;" | 5.5.1 |"</f>
        <v/>
      </c>
      <c r="V4">
        <f>"| Cb | "&amp;IF(ISBLANK(INDEX('Global Parameter'!$D:$D,MATCH("Cb",'Global Parameter'!$A:$A,0))),"",INDEX('Global Parameter'!$D:$D,MATCH("Cb",'Global Parameter'!$A:$A,0)))&amp;IF(ISBLANK(INDEX('Global Parameter'!$B:$B,MATCH("Cb",'Global Parameter'!$A:$A,0))),1,IF(INDEX('Global Parameter'!$B:$B,MATCH("Cb",'Global Parameter'!$A:$A,0))="",1,INDEX('Global Parameter'!$B:$B,MATCH("Cb",'Global Parameter'!$A:$A,0))))&amp;IF(ISBLANK(INDEX('Global Parameter'!$E:$E,MATCH("Cb",'Global Parameter'!$A:$A,0))),"",INDEX('Global Parameter'!$E:$E,MATCH("Cb",'Global Parameter'!$A:$A,0)))&amp;" | 3-1-1/13.3 |"</f>
        <v/>
      </c>
      <c r="W4">
        <f>"| axis ax | ("&amp;IF(ISBLANK(INDEX('Global Parameter'!$D:$D,MATCH("ax_x",'Global Parameter'!$A:$A,0))),"",INDEX('Global Parameter'!$D:$D,MATCH("ax_x",'Global Parameter'!$A:$A,0)))&amp;IF(ISBLANK(INDEX('Global Parameter'!$B:$B,MATCH("ax_x",'Global Parameter'!$A:$A,0))),"1",IF(INDEX('Global Parameter'!$B:$B,MATCH("ax_x",'Global Parameter'!$A:$A,0))="","1",INDEX('Global Parameter'!$B:$B,MATCH("ax_x",'Global Parameter'!$A:$A,0))))&amp;IF(ISBLANK(INDEX('Global Parameter'!$E:$E,MATCH("ax_x",'Global Parameter'!$A:$A,0))),"",INDEX('Global Parameter'!$E:$E,MATCH("ax_x",'Global Parameter'!$A:$A,0)))&amp;", "&amp;IF(ISBLANK(INDEX('Global Parameter'!$D:$D,MATCH("ax_y",'Global Parameter'!$A:$A,0))),"",INDEX('Global Parameter'!$D:$D,MATCH("ax_y",'Global Parameter'!$A:$A,0)))&amp;IF(ISBLANK(INDEX('Global Parameter'!$B:$B,MATCH("ax_y",'Global Parameter'!$A:$A,0))),"2",IF(INDEX('Global Parameter'!$B:$B,MATCH("ax_y",'Global Parameter'!$A:$A,0))="","2",INDEX('Global Parameter'!$B:$B,MATCH("ax_y",'Global Parameter'!$A:$A,0))))&amp;IF(ISBLANK(INDEX('Global Parameter'!$E:$E,MATCH("ax_y",'Global Parameter'!$A:$A,0))),"",INDEX('Global Parameter'!$E:$E,MATCH("ax_y",'Global Parameter'!$A:$A,0)))&amp;", "&amp;IF(ISBLANK(INDEX('Global Parameter'!$D:$D,MATCH("ax_z",'Global Parameter'!$A:$A,0))),"",INDEX('Global Parameter'!$D:$D,MATCH("ax_z",'Global Parameter'!$A:$A,0)))&amp;IF(ISBLANK(INDEX('Global Parameter'!$B:$B,MATCH("ax_z",'Global Parameter'!$A:$A,0))),"3",IF(INDEX('Global Parameter'!$B:$B,MATCH("ax_z",'Global Parameter'!$A:$A,0))="","3",INDEX('Global Parameter'!$B:$B,MATCH("ax_z",'Global Parameter'!$A:$A,0))))&amp;IF(ISBLANK(INDEX('Global Parameter'!$E:$E,MATCH("ax_z",'Global Parameter'!$A:$A,0))),"",INDEX('Global Parameter'!$E:$E,MATCH("ax_z",'Global Parameter'!$A:$A,0)))&amp;") | 模型 |"</f>
        <v/>
      </c>
      <c r="X4">
        <f>"| axis neg | ("&amp;IF(ISBLANK(INDEX('Global Parameter'!$D:$D,MATCH("neg_x",'Global Parameter'!$A:$A,0))),"",INDEX('Global Parameter'!$D:$D,MATCH("neg_x",'Global Parameter'!$A:$A,0)))&amp;IF(ISBLANK(INDEX('Global Parameter'!$B:$B,MATCH("neg_x",'Global Parameter'!$A:$A,0))),"",INDEX('Global Parameter'!$B:$B,MATCH("neg_x",'Global Parameter'!$A:$A,0)))&amp;IF(ISBLANK(INDEX('Global Parameter'!$E:$E,MATCH("neg_x",'Global Parameter'!$A:$A,0))),"",INDEX('Global Parameter'!$E:$E,MATCH("neg_x",'Global Parameter'!$A:$A,0)))&amp;" / "&amp;IF(ISBLANK(INDEX('Global Parameter'!$D:$D,MATCH("neg_y",'Global Parameter'!$A:$A,0))),"",INDEX('Global Parameter'!$D:$D,MATCH("neg_y",'Global Parameter'!$A:$A,0)))&amp;IF(ISBLANK(INDEX('Global Parameter'!$B:$B,MATCH("neg_y",'Global Parameter'!$A:$A,0))),"",INDEX('Global Parameter'!$B:$B,MATCH("neg_y",'Global Parameter'!$A:$A,0)))&amp;IF(ISBLANK(INDEX('Global Parameter'!$E:$E,MATCH("neg_y",'Global Parameter'!$A:$A,0))),"",INDEX('Global Parameter'!$E:$E,MATCH("neg_y",'Global Parameter'!$A:$A,0)))&amp;" / "&amp;IF(ISBLANK(INDEX('Global Parameter'!$D:$D,MATCH("neg_z",'Global Parameter'!$A:$A,0))),"",INDEX('Global Parameter'!$D:$D,MATCH("neg_z",'Global Parameter'!$A:$A,0)))&amp;IF(ISBLANK(INDEX('Global Parameter'!$B:$B,MATCH("neg_z",'Global Parameter'!$A:$A,0))),"",INDEX('Global Parameter'!$B:$B,MATCH("neg_z",'Global Parameter'!$A:$A,0)))&amp;IF(ISBLANK(INDEX('Global Parameter'!$E:$E,MATCH("neg_z",'Global Parameter'!$A:$A,0))),"",INDEX('Global Parameter'!$E:$E,MATCH("neg_z",'Global Parameter'!$A:$A,0)))&amp;") | 模型 |"</f>
        <v/>
      </c>
    </row>
    <row r="5"/>
    <row r="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0" t="inlineStr">
        <is>
          <t>!! 只读参考：模板真源是 YAML / template_file；在这里改模板不会影响渲染结果</t>
        </is>
      </c>
    </row>
    <row r="2">
      <c r="A2" s="11" t="inlineStr">
        <is>
          <t>### genie_ext</t>
        </is>
      </c>
    </row>
    <row r="3">
      <c r="A3" t="inlineStr">
        <is>
          <t>output_sheet</t>
        </is>
      </c>
      <c r="B3" t="inlineStr">
        <is>
          <t>Code</t>
        </is>
      </c>
    </row>
    <row r="4">
      <c r="A4" t="inlineStr">
        <is>
          <t>start_cell</t>
        </is>
      </c>
      <c r="B4" t="inlineStr">
        <is>
          <t>B2</t>
        </is>
      </c>
    </row>
    <row r="5">
      <c r="A5" t="inlineStr">
        <is>
          <t>direction</t>
        </is>
      </c>
      <c r="B5" t="inlineStr">
        <is>
          <t>horizontal</t>
        </is>
      </c>
    </row>
    <row r="6">
      <c r="A6" t="inlineStr">
        <is>
          <t>filename</t>
        </is>
      </c>
      <c r="B6" t="inlineStr">
        <is>
          <t>{{ case_name }}.js</t>
        </is>
      </c>
    </row>
    <row r="7">
      <c r="A7" t="inlineStr">
        <is>
          <t>extension</t>
        </is>
      </c>
      <c r="B7" t="inlineStr">
        <is>
          <t>.txt</t>
        </is>
      </c>
    </row>
    <row r="8">
      <c r="A8" t="inlineStr">
        <is>
          <t>description</t>
        </is>
      </c>
      <c r="B8" t="inlineStr">
        <is>
          <t>ABS FPI 5A-3-2/5.5 外压 -- GeniE 强度函数体</t>
        </is>
      </c>
    </row>
    <row r="9">
      <c r="A9" s="11" t="inlineStr">
        <is>
          <t>code ↓</t>
        </is>
      </c>
    </row>
    <row r="10">
      <c r="A10" t="n">
        <v>1</v>
      </c>
      <c r="B10" t="inlineStr">
        <is>
          <t>// {{ case_name }}</t>
        </is>
      </c>
    </row>
    <row r="11">
      <c r="A11" t="n">
        <v>2</v>
      </c>
      <c r="B11" t="inlineStr">
        <is>
          <t>// The rules live in the RULE frame: x from the A.P., y from the centre line</t>
        </is>
      </c>
    </row>
    <row r="12">
      <c r="A12" t="n">
        <v>3</v>
      </c>
      <c r="B12" t="inlineStr">
        <is>
          <t>// positive starboard, z above the baseline.  The model usually is not, so the</t>
        </is>
      </c>
    </row>
    <row r="13">
      <c r="A13" t="n">
        <v>4</v>
      </c>
      <c r="B13" t="inlineStr">
        <is>
          <t>// three mapping cells (ax_* / neg_*) convert it.  All three coordinates go</t>
        </is>
      </c>
    </row>
    <row r="14">
      <c r="A14" t="n">
        <v>5</v>
      </c>
      <c r="B14" t="inlineStr">
        <is>
          <t>// through temporaries first: assigning them in place would read a coordinate</t>
        </is>
      </c>
    </row>
    <row r="15">
      <c r="A15" t="n">
        <v>6</v>
      </c>
      <c r="B15" t="inlineStr">
        <is>
          <t>// that has already been overwritten.</t>
        </is>
      </c>
    </row>
    <row r="16">
      <c r="A16" t="n">
        <v>7</v>
      </c>
      <c r="B16" t="inlineStr">
        <is>
          <t>var t1 = x;</t>
        </is>
      </c>
    </row>
    <row r="17">
      <c r="A17" t="n">
        <v>8</v>
      </c>
      <c r="B17" t="inlineStr">
        <is>
          <t>var t2 = y;</t>
        </is>
      </c>
    </row>
    <row r="18">
      <c r="A18" t="n">
        <v>9</v>
      </c>
      <c r="B18" t="inlineStr">
        <is>
          <t>var t3 = z;</t>
        </is>
      </c>
    </row>
    <row r="19">
      <c r="A19" t="n">
        <v>10</v>
      </c>
      <c r="B19" t="inlineStr">
        <is>
          <t>x = {{ neg_x }}t{{ ax_x }};</t>
        </is>
      </c>
    </row>
    <row r="20">
      <c r="A20" t="n">
        <v>11</v>
      </c>
      <c r="B20" t="inlineStr">
        <is>
          <t>y = {{ neg_y }}t{{ ax_y }};</t>
        </is>
      </c>
    </row>
    <row r="21">
      <c r="A21" t="n">
        <v>12</v>
      </c>
      <c r="B21" t="inlineStr">
        <is>
          <t>z = {{ neg_z }}t{{ ax_z }};</t>
        </is>
      </c>
    </row>
    <row r="22">
      <c r="A22" t="n">
        <v>13</v>
      </c>
      <c r="B22" t="inlineStr">
        <is>
          <t>// --- global parameters (same for every case)</t>
        </is>
      </c>
    </row>
    <row r="23">
      <c r="A23" t="n">
        <v>14</v>
      </c>
      <c r="B23" t="inlineStr">
        <is>
          <t>var L = {{ L }};</t>
        </is>
      </c>
    </row>
    <row r="24">
      <c r="A24" t="n">
        <v>15</v>
      </c>
      <c r="B24" t="inlineStr">
        <is>
          <t>var B = {{ B }};</t>
        </is>
      </c>
    </row>
    <row r="25">
      <c r="A25" t="n">
        <v>16</v>
      </c>
      <c r="B25" t="inlineStr">
        <is>
          <t>var D = {{ D }};</t>
        </is>
      </c>
    </row>
    <row r="26">
      <c r="A26" t="n">
        <v>17</v>
      </c>
      <c r="B26" t="inlineStr">
        <is>
          <t>var r_b = {{ r_b }};</t>
        </is>
      </c>
    </row>
    <row r="27">
      <c r="A27" t="n">
        <v>18</v>
      </c>
      <c r="B27" t="inlineStr">
        <is>
          <t>var freeboard = {{ freeboard }};</t>
        </is>
      </c>
    </row>
    <row r="28">
      <c r="A28" t="n">
        <v>19</v>
      </c>
      <c r="B28" t="inlineStr">
        <is>
          <t>var rho_sea = {{ rho_sea }};</t>
        </is>
      </c>
    </row>
    <row r="29">
      <c r="A29" t="n">
        <v>20</v>
      </c>
      <c r="B29" t="inlineStr">
        <is>
          <t>var g = {{ g }};</t>
        </is>
      </c>
    </row>
    <row r="30">
      <c r="A30" t="n">
        <v>21</v>
      </c>
      <c r="B30" t="inlineStr">
        <is>
          <t>var Cb = {{ Cb }};</t>
        </is>
      </c>
    </row>
    <row r="31">
      <c r="A31" t="n">
        <v>22</v>
      </c>
      <c r="B31" t="inlineStr">
        <is>
          <t>// --- this case</t>
        </is>
      </c>
    </row>
    <row r="32">
      <c r="A32" t="n">
        <v>23</v>
      </c>
      <c r="B32" t="inlineStr">
        <is>
          <t>var draft = {{ draft }};</t>
        </is>
      </c>
    </row>
    <row r="33">
      <c r="A33" t="n">
        <v>24</v>
      </c>
      <c r="B33" t="inlineStr">
        <is>
          <t>var mu_deg = {{ mu_deg }};</t>
        </is>
      </c>
    </row>
    <row r="34">
      <c r="A34" t="n">
        <v>25</v>
      </c>
      <c r="B34" t="inlineStr">
        <is>
          <t>var k_c = {{ k_c }};</t>
        </is>
      </c>
    </row>
    <row r="35">
      <c r="A35" t="n">
        <v>26</v>
      </c>
      <c r="B35" t="inlineStr">
        <is>
          <t>var k_f0 = {{ k_f0 }};</t>
        </is>
      </c>
    </row>
    <row r="36">
      <c r="A36" t="n">
        <v>27</v>
      </c>
      <c r="B36" t="inlineStr">
        <is>
          <t>var k_u = {{ k_u }};</t>
        </is>
      </c>
    </row>
    <row r="37">
      <c r="A37" t="n">
        <v>28</v>
      </c>
      <c r="B37" t="inlineStr">
        <is>
          <t>var beta_EPS = {{ beta_EPS }};</t>
        </is>
      </c>
    </row>
    <row r="38">
      <c r="A38" t="n">
        <v>29</v>
      </c>
      <c r="B38" t="inlineStr">
        <is>
          <t>var beta_EPP = {{ beta_EPP }};</t>
        </is>
      </c>
    </row>
    <row r="39">
      <c r="A39" t="n">
        <v>30</v>
      </c>
      <c r="B39" t="inlineStr">
        <is>
          <t>var k_esf = {{ k_esf }};</t>
        </is>
      </c>
    </row>
    <row r="40">
      <c r="A40" t="n">
        <v>31</v>
      </c>
      <c r="B40" t="inlineStr">
        <is>
          <t>var x_o = {{ x_o }};</t>
        </is>
      </c>
    </row>
    <row r="41">
      <c r="A41" t="n">
        <v>32</v>
      </c>
      <c r="B41" t="inlineStr">
        <is>
          <t>// --- the calculation</t>
        </is>
      </c>
    </row>
    <row r="42">
      <c r="A42" t="n">
        <v>33</v>
      </c>
      <c r="B42" t="inlineStr">
        <is>
          <t>var u = mu_deg;   // the heading, as an Angle -- cos/sin take it directly</t>
        </is>
      </c>
    </row>
    <row r="43">
      <c r="A43" t="n">
        <v>34</v>
      </c>
      <c r="B43" t="inlineStr">
        <is>
          <t>var C_1 = 0;   // wave coefficient, 0 until a length bracket matches</t>
        </is>
      </c>
    </row>
    <row r="44">
      <c r="A44" t="n">
        <v>35</v>
      </c>
      <c r="B44" t="inlineStr">
        <is>
          <t>// C_1 brackets of 3-2-1/3.5, closed at both ends; outside them C_1 is zero</t>
        </is>
      </c>
    </row>
    <row r="45">
      <c r="A45" t="n">
        <v>36</v>
      </c>
      <c r="B45" t="inlineStr">
        <is>
          <t>if      (L &gt;= 61 m  &amp;&amp; L &lt;= 90 m ) C_1 = 0.044 * (L / 1 m) + 3.75;</t>
        </is>
      </c>
    </row>
    <row r="46">
      <c r="A46" t="n">
        <v>37</v>
      </c>
      <c r="B46" t="inlineStr">
        <is>
          <t>else if (L &gt;  90 m  &amp;&amp; L &lt;  300 m) C_1 = 10.75 - Math.pow((300 m - L) / 100 m, 1.5);</t>
        </is>
      </c>
    </row>
    <row r="47">
      <c r="A47" t="n">
        <v>38</v>
      </c>
      <c r="B47" t="inlineStr">
        <is>
          <t>else if (L &gt;= 300 m &amp;&amp; L &lt;  350 m) C_1 = 10.75;</t>
        </is>
      </c>
    </row>
    <row r="48">
      <c r="A48" t="n">
        <v>39</v>
      </c>
      <c r="B48" t="inlineStr">
        <is>
          <t>else if (L &gt;= 350 m &amp;&amp; L &lt;= 500 m) C_1 = 10.75 - Math.pow((L - 350 m) / 150 m, 1.5);</t>
        </is>
      </c>
    </row>
    <row r="49">
      <c r="A49" t="n">
        <v>40</v>
      </c>
      <c r="B49" t="inlineStr">
        <is>
          <t>else                               C_1 = 0;</t>
        </is>
      </c>
    </row>
    <row r="50">
      <c r="A50" t="n">
        <v>41</v>
      </c>
      <c r="B50" t="inlineStr">
        <is>
          <t>var h_do = 1.36 * C_1 * 1 m;   // reference hydrodynamic head, k = 1 (5.5.1)</t>
        </is>
      </c>
    </row>
    <row r="51">
      <c r="A51" t="n">
        <v>42</v>
      </c>
      <c r="B51" t="inlineStr">
        <is>
          <t>var z_bilge = r_b;   // rule z of the bilge (the bilge radius)</t>
        </is>
      </c>
    </row>
    <row r="52">
      <c r="A52" t="n">
        <v>43</v>
      </c>
      <c r="B52" t="inlineStr">
        <is>
          <t>var z_freeboard = D - freeboard;   // rule z of the highest deck at side</t>
        </is>
      </c>
    </row>
    <row r="53">
      <c r="A53" t="n">
        <v>44</v>
      </c>
      <c r="B53" t="inlineStr">
        <is>
          <t>var xL = x / L;   // x / L, dimensionless</t>
        </is>
      </c>
    </row>
    <row r="54">
      <c r="A54" t="n">
        <v>45</v>
      </c>
      <c r="B54" t="inlineStr">
        <is>
          <t>var k_lo = 1;   // k_lo = 1.0 amidships</t>
        </is>
      </c>
    </row>
    <row r="55">
      <c r="A55" t="n">
        <v>46</v>
      </c>
      <c r="B55" t="inlineStr">
        <is>
          <t>// Fig. 9: k_lo = 1 amidships, rising towards both ends</t>
        </is>
      </c>
    </row>
    <row r="56">
      <c r="A56" t="n">
        <v>47</v>
      </c>
      <c r="B56" t="inlineStr">
        <is>
          <t>if      (xL &lt; 0.2) k_lo = 1.5 - xL * 2.5;</t>
        </is>
      </c>
    </row>
    <row r="57">
      <c r="A57" t="n">
        <v>48</v>
      </c>
      <c r="B57" t="inlineStr">
        <is>
          <t>else if (xL &gt; 0.7) k_lo = 1 + (xL - 0.7) * 5;</t>
        </is>
      </c>
    </row>
    <row r="58">
      <c r="A58" t="n">
        <v>49</v>
      </c>
      <c r="B58" t="inlineStr">
        <is>
          <t>else               k_lo = 1;</t>
        </is>
      </c>
    </row>
    <row r="59">
      <c r="A59" t="n">
        <v>50</v>
      </c>
      <c r="B59" t="inlineStr">
        <is>
          <t>var k_l = 1 + (k_lo - 1) * Math.cos(u);   // k_l = 1 + (k_lo - 1) cos mu; GeniE converts the angle inside cos</t>
        </is>
      </c>
    </row>
    <row r="60">
      <c r="A60" t="n">
        <v>51</v>
      </c>
      <c r="B60" t="inlineStr">
        <is>
          <t>var k_f = k_f0 * (1 - (1 - Math.cos((x - x_o) / L * 360 deg)) * Math.cos(u));   // k_f, the reference station against the wave</t>
        </is>
      </c>
    </row>
    <row r="61">
      <c r="A61" t="n">
        <v>52</v>
      </c>
      <c r="B61" t="inlineStr">
        <is>
          <t>var alpha_1 = (1 - 0.25 * Math.cos(u)) * k_f;   // i = 1, at the waterline, starboard</t>
        </is>
      </c>
    </row>
    <row r="62">
      <c r="A62" t="n">
        <v>53</v>
      </c>
      <c r="B62" t="inlineStr">
        <is>
          <t>var alpha_2 = (0.40 - 0.10 * Math.cos(u)) * k_f;   // i = 2, at the bilge, starboard</t>
        </is>
      </c>
    </row>
    <row r="63">
      <c r="A63" t="n">
        <v>54</v>
      </c>
      <c r="B63" t="inlineStr">
        <is>
          <t>var alpha_3 = (0.30 - 0.20 * Math.sin(u)) * k_f;   // i = 3, at the bottom centre line</t>
        </is>
      </c>
    </row>
    <row r="64">
      <c r="A64" t="n">
        <v>55</v>
      </c>
      <c r="B64" t="inlineStr">
        <is>
          <t>var alpha_5 = (0.75 - 1.25 * Math.sin(u)) * k_f;   // i = 5, at the waterline, port</t>
        </is>
      </c>
    </row>
    <row r="65">
      <c r="A65" t="n">
        <v>56</v>
      </c>
      <c r="B65" t="inlineStr">
        <is>
          <t>var alpha_4 = 2 * alpha_3 - alpha_2;   // i = 4 = 2 alpha_3 - alpha_2, at the bilge, port</t>
        </is>
      </c>
    </row>
    <row r="66">
      <c r="A66" t="n">
        <v>57</v>
      </c>
      <c r="B66" t="inlineStr">
        <is>
          <t>var h_d1 = k_l * alpha_1 * h_do;   // hydrodynamic head at i = 1</t>
        </is>
      </c>
    </row>
    <row r="67">
      <c r="A67" t="n">
        <v>58</v>
      </c>
      <c r="B67" t="inlineStr">
        <is>
          <t>var h_d5 = k_l * alpha_5 * h_do;   // hydrodynamic head at i = 5</t>
        </is>
      </c>
    </row>
    <row r="68">
      <c r="A68" t="n">
        <v>59</v>
      </c>
      <c r="B68" t="inlineStr">
        <is>
          <t>var h_star_s = Math.min(z_freeboard - draft, k_u * h_d1);   // Fig. 10: the head above the waterline, capped at the freeboard, starboard</t>
        </is>
      </c>
    </row>
    <row r="69">
      <c r="A69" t="n">
        <v>60</v>
      </c>
      <c r="B69" t="inlineStr">
        <is>
          <t>var h_star_p = Math.min(z_freeboard - draft, k_u * h_d5);   // Fig. 10: the head above the waterline, capped at the freeboard, port</t>
        </is>
      </c>
    </row>
    <row r="70">
      <c r="A70" t="n">
        <v>61</v>
      </c>
      <c r="B70" t="inlineStr">
        <is>
          <t>var alpha_i = 0;   // alpha at the point evaluated, assigned by the girth branches</t>
        </is>
      </c>
    </row>
    <row r="71">
      <c r="A71" t="n">
        <v>62</v>
      </c>
      <c r="B71" t="inlineStr">
        <is>
          <t>// Fig. 8: alpha at the point evaluated</t>
        </is>
      </c>
    </row>
    <row r="72">
      <c r="A72" t="n">
        <v>63</v>
      </c>
      <c r="B72" t="inlineStr">
        <is>
          <t>if (z &gt;= z_bilge) {</t>
        </is>
      </c>
    </row>
    <row r="73">
      <c r="A73" t="n">
        <v>64</v>
      </c>
      <c r="B73" t="inlineStr">
        <is>
          <t xml:space="preserve">    if (z &lt;= draft) {</t>
        </is>
      </c>
    </row>
    <row r="74">
      <c r="A74" t="n">
        <v>65</v>
      </c>
      <c r="B74" t="inlineStr">
        <is>
          <t xml:space="preserve">        // bilge to waterline, on the side of the girth the point is on</t>
        </is>
      </c>
    </row>
    <row r="75">
      <c r="A75" t="n">
        <v>66</v>
      </c>
      <c r="B75" t="inlineStr">
        <is>
          <t xml:space="preserve">        if (y &gt;= 0 m) alpha_i = alpha_2 + (alpha_1 - alpha_2) * (z - z_bilge) / (draft - z_bilge);</t>
        </is>
      </c>
    </row>
    <row r="76">
      <c r="A76" t="n">
        <v>67</v>
      </c>
      <c r="B76" t="inlineStr">
        <is>
          <t xml:space="preserve">        else          alpha_i = alpha_4 + (alpha_5 - alpha_4) * (z - z_bilge) / (draft - z_bilge);</t>
        </is>
      </c>
    </row>
    <row r="77">
      <c r="A77" t="n">
        <v>68</v>
      </c>
      <c r="B77" t="inlineStr">
        <is>
          <t xml:space="preserve">    } else {</t>
        </is>
      </c>
    </row>
    <row r="78">
      <c r="A78" t="n">
        <v>69</v>
      </c>
      <c r="B78" t="inlineStr">
        <is>
          <t xml:space="preserve">        // above the waterline, faded out over that side's h_star</t>
        </is>
      </c>
    </row>
    <row r="79">
      <c r="A79" t="n">
        <v>70</v>
      </c>
      <c r="B79" t="inlineStr">
        <is>
          <t xml:space="preserve">        if (y &gt;= 0 m) {</t>
        </is>
      </c>
    </row>
    <row r="80">
      <c r="A80" t="n">
        <v>71</v>
      </c>
      <c r="B80" t="inlineStr">
        <is>
          <t xml:space="preserve">            if (h_star_s &lt;= 0 m) alpha_i = 0;</t>
        </is>
      </c>
    </row>
    <row r="81">
      <c r="A81" t="n">
        <v>72</v>
      </c>
      <c r="B81" t="inlineStr">
        <is>
          <t xml:space="preserve">            else                 alpha_i = alpha_1 - (z - draft) / h_star_s * alpha_1;</t>
        </is>
      </c>
    </row>
    <row r="82">
      <c r="A82" t="n">
        <v>73</v>
      </c>
      <c r="B82" t="inlineStr">
        <is>
          <t xml:space="preserve">        } else {</t>
        </is>
      </c>
    </row>
    <row r="83">
      <c r="A83" t="n">
        <v>74</v>
      </c>
      <c r="B83" t="inlineStr">
        <is>
          <t xml:space="preserve">            if (h_star_p &lt;= 0 m) alpha_i = 0;</t>
        </is>
      </c>
    </row>
    <row r="84">
      <c r="A84" t="n">
        <v>75</v>
      </c>
      <c r="B84" t="inlineStr">
        <is>
          <t xml:space="preserve">            else                 alpha_i = alpha_5 - (z - draft) / h_star_p * alpha_5;</t>
        </is>
      </c>
    </row>
    <row r="85">
      <c r="A85" t="n">
        <v>76</v>
      </c>
      <c r="B85" t="inlineStr">
        <is>
          <t xml:space="preserve">        }</t>
        </is>
      </c>
    </row>
    <row r="86">
      <c r="A86" t="n">
        <v>77</v>
      </c>
      <c r="B86" t="inlineStr">
        <is>
          <t xml:space="preserve">    }</t>
        </is>
      </c>
    </row>
    <row r="87">
      <c r="A87" t="n">
        <v>78</v>
      </c>
      <c r="B87" t="inlineStr">
        <is>
          <t>} else {</t>
        </is>
      </c>
    </row>
    <row r="88">
      <c r="A88" t="n">
        <v>79</v>
      </c>
      <c r="B88" t="inlineStr">
        <is>
          <t xml:space="preserve">    // below the bilge: linear across the flat of bottom</t>
        </is>
      </c>
    </row>
    <row r="89">
      <c r="A89" t="n">
        <v>80</v>
      </c>
      <c r="B89" t="inlineStr">
        <is>
          <t xml:space="preserve">    alpha_i = alpha_4 + (alpha_2 - alpha_4) * (z + z_bilge) / (2 * z_bilge);</t>
        </is>
      </c>
    </row>
    <row r="90">
      <c r="A90" t="n">
        <v>81</v>
      </c>
      <c r="B90" t="inlineStr">
        <is>
          <t>}</t>
        </is>
      </c>
    </row>
    <row r="91">
      <c r="A91" t="n">
        <v>82</v>
      </c>
      <c r="B91" t="inlineStr">
        <is>
          <t>// 5.5.1: which side of the girth, and so which ESF</t>
        </is>
      </c>
    </row>
    <row r="92">
      <c r="A92" t="n">
        <v>83</v>
      </c>
      <c r="B92" t="inlineStr">
        <is>
          <t>// the ESF is a property of the SIDE the point is on: EPS to starboard, EPP to port</t>
        </is>
      </c>
    </row>
    <row r="93">
      <c r="A93" t="n">
        <v>84</v>
      </c>
      <c r="B93" t="inlineStr">
        <is>
          <t>var ESF_side = 0;</t>
        </is>
      </c>
    </row>
    <row r="94">
      <c r="A94" t="n">
        <v>85</v>
      </c>
      <c r="B94" t="inlineStr">
        <is>
          <t>if (y &gt;= 0 m) ESF_side = beta_EPS * k_esf;</t>
        </is>
      </c>
    </row>
    <row r="95">
      <c r="A95" t="n">
        <v>86</v>
      </c>
      <c r="B95" t="inlineStr">
        <is>
          <t>else          ESF_side = beta_EPP * k_esf;</t>
        </is>
      </c>
    </row>
    <row r="96">
      <c r="A96" t="n">
        <v>87</v>
      </c>
      <c r="B96" t="inlineStr">
        <is>
          <t>var h_di = k_l * alpha_i * h_do;   // hydrodynamic head at the point evaluated (5.5.1)</t>
        </is>
      </c>
    </row>
    <row r="97">
      <c r="A97" t="n">
        <v>88</v>
      </c>
      <c r="B97" t="inlineStr">
        <is>
          <t>var h_de = k_c * h_di;   // h_de = k_c h_di (5.5.1 nominal form)</t>
        </is>
      </c>
    </row>
    <row r="98">
      <c r="A98" t="n">
        <v>89</v>
      </c>
      <c r="B98" t="inlineStr">
        <is>
          <t>var p_s = Math.max(rho_sea * g * (draft - z), 0 Pa);   // still-water pressure, zero above the waterline</t>
        </is>
      </c>
    </row>
    <row r="99">
      <c r="A99" t="n">
        <v>90</v>
      </c>
      <c r="B99" t="inlineStr">
        <is>
          <t>var p_d = rho_sea * g * ESF_side * k_u * h_de;   // hydrodynamic pressure, with the ESF of the side the point is on</t>
        </is>
      </c>
    </row>
    <row r="100">
      <c r="A100" t="n">
        <v>91</v>
      </c>
      <c r="B100" t="inlineStr">
        <is>
          <t>return Math.max(p_s + p_d, 0 Pa);   // the pressure the function returns</t>
        </is>
      </c>
    </row>
    <row r="101"/>
    <row r="102">
      <c r="A102" s="11" t="inlineStr">
        <is>
          <t>### ext_summary</t>
        </is>
      </c>
    </row>
    <row r="103">
      <c r="A103" t="inlineStr">
        <is>
          <t>output_sheet</t>
        </is>
      </c>
      <c r="B103" t="inlineStr">
        <is>
          <t>Summary</t>
        </is>
      </c>
    </row>
    <row r="104">
      <c r="A104" t="inlineStr">
        <is>
          <t>start_cell</t>
        </is>
      </c>
      <c r="B104" t="inlineStr">
        <is>
          <t>B2</t>
        </is>
      </c>
    </row>
    <row r="105">
      <c r="A105" t="inlineStr">
        <is>
          <t>direction</t>
        </is>
      </c>
      <c r="B105" t="inlineStr">
        <is>
          <t>vertical</t>
        </is>
      </c>
    </row>
    <row r="106">
      <c r="A106" t="inlineStr">
        <is>
          <t>filename</t>
        </is>
      </c>
      <c r="B106" t="inlineStr">
        <is>
          <t>{{ case_name }}_summary.md</t>
        </is>
      </c>
    </row>
    <row r="107">
      <c r="A107" t="inlineStr">
        <is>
          <t>extension</t>
        </is>
      </c>
      <c r="B107" t="inlineStr">
        <is>
          <t>.txt</t>
        </is>
      </c>
    </row>
    <row r="108">
      <c r="A108" t="inlineStr">
        <is>
          <t>description</t>
        </is>
      </c>
      <c r="B108" t="inlineStr">
        <is>
          <t>外压工况输入汇总（Markdown）</t>
        </is>
      </c>
    </row>
    <row r="109">
      <c r="A109" s="11" t="inlineStr">
        <is>
          <t>code ↓</t>
        </is>
      </c>
    </row>
    <row r="110">
      <c r="A110" t="n">
        <v>1</v>
      </c>
      <c r="B110" t="inlineStr">
        <is>
          <t>| 项目 | 值 | 出处 |</t>
        </is>
      </c>
    </row>
    <row r="111">
      <c r="A111" t="n">
        <v>2</v>
      </c>
      <c r="B111" t="inlineStr">
        <is>
          <t>| --- | --- | --- |</t>
        </is>
      </c>
    </row>
    <row r="112">
      <c r="A112" t="n">
        <v>3</v>
      </c>
      <c r="B112" t="inlineStr">
        <is>
          <t>| case_name | {{ case_name }} | 工况名（Excel 表头） |</t>
        </is>
      </c>
    </row>
    <row r="113">
      <c r="A113" t="n">
        <v>4</v>
      </c>
      <c r="B113" t="inlineStr">
        <is>
          <t>| kind | {{ kind }} | 规则集（多规则集共用一本工作簿时用 case_filter 分流） |</t>
        </is>
      </c>
    </row>
    <row r="114">
      <c r="A114" t="n">
        <v>5</v>
      </c>
      <c r="B114" t="inlineStr">
        <is>
          <t>| draft | {{ draft }} | 装载工况 |</t>
        </is>
      </c>
    </row>
    <row r="115">
      <c r="A115" t="n">
        <v>6</v>
      </c>
      <c r="B115" t="inlineStr">
        <is>
          <t>| mu_deg | {{ mu_deg }} | Table 1A D |</t>
        </is>
      </c>
    </row>
    <row r="116">
      <c r="A116" t="n">
        <v>7</v>
      </c>
      <c r="B116" t="inlineStr">
        <is>
          <t>| k_c | {{ k_c }} | Table 1A B |</t>
        </is>
      </c>
    </row>
    <row r="117">
      <c r="A117" t="n">
        <v>8</v>
      </c>
      <c r="B117" t="inlineStr">
        <is>
          <t>| k_f0 | {{ k_f0 }} | Table 1A B |</t>
        </is>
      </c>
    </row>
    <row r="118">
      <c r="A118" t="n">
        <v>9</v>
      </c>
      <c r="B118" t="inlineStr">
        <is>
          <t>| k_u | {{ k_u }} | 5A-3-2/7, /9 |</t>
        </is>
      </c>
    </row>
    <row r="119">
      <c r="A119" t="n">
        <v>10</v>
      </c>
      <c r="B119" t="inlineStr">
        <is>
          <t>| beta_EPS | {{ beta_EPS }} | 5A-3-A1/3 |</t>
        </is>
      </c>
    </row>
    <row r="120">
      <c r="A120" t="n">
        <v>11</v>
      </c>
      <c r="B120" t="inlineStr">
        <is>
          <t>| beta_EPP | {{ beta_EPP }} | 5A-3-A1/3 |</t>
        </is>
      </c>
    </row>
    <row r="121">
      <c r="A121" t="n">
        <v>12</v>
      </c>
      <c r="B121" t="inlineStr">
        <is>
          <t>| k_esf | {{ k_esf }} | 项目 |</t>
        </is>
      </c>
    </row>
    <row r="122">
      <c r="A122" t="n">
        <v>13</v>
      </c>
      <c r="B122" t="inlineStr">
        <is>
          <t>| x_o | {{ x_o }} | Fig. 9 脚注 |</t>
        </is>
      </c>
    </row>
    <row r="123">
      <c r="A123" t="n">
        <v>14</v>
      </c>
      <c r="B123" t="inlineStr">
        <is>
          <t>| L | {{ L }} | 3-1-1/3 |</t>
        </is>
      </c>
    </row>
    <row r="124">
      <c r="A124" t="n">
        <v>15</v>
      </c>
      <c r="B124" t="inlineStr">
        <is>
          <t>| B | {{ B }} | 3-1-1/3 |</t>
        </is>
      </c>
    </row>
    <row r="125">
      <c r="A125" t="n">
        <v>16</v>
      </c>
      <c r="B125" t="inlineStr">
        <is>
          <t>| D | {{ D }} | 3-1-1/3 |</t>
        </is>
      </c>
    </row>
    <row r="126">
      <c r="A126" t="n">
        <v>17</v>
      </c>
      <c r="B126" t="inlineStr">
        <is>
          <t>| r_b | {{ r_b }} | Fig. 11 |</t>
        </is>
      </c>
    </row>
    <row r="127">
      <c r="A127" t="n">
        <v>18</v>
      </c>
      <c r="B127" t="inlineStr">
        <is>
          <t>| freeboard | {{ freeboard }} | Fig. 10 |</t>
        </is>
      </c>
    </row>
    <row r="128">
      <c r="A128" t="n">
        <v>19</v>
      </c>
      <c r="B128" t="inlineStr">
        <is>
          <t>| rho_sea | {{ rho_sea }} | 5.5.1 |</t>
        </is>
      </c>
    </row>
    <row r="129">
      <c r="A129" t="n">
        <v>20</v>
      </c>
      <c r="B129" t="inlineStr">
        <is>
          <t>| g | {{ g }} | 5.5.1 |</t>
        </is>
      </c>
    </row>
    <row r="130">
      <c r="A130" t="n">
        <v>21</v>
      </c>
      <c r="B130" t="inlineStr">
        <is>
          <t>| Cb | {{ Cb }} | 3-1-1/13.3 |</t>
        </is>
      </c>
    </row>
    <row r="131">
      <c r="A131" t="n">
        <v>22</v>
      </c>
      <c r="B131" t="inlineStr">
        <is>
          <t>| axis ax | ({{ ax_x }}, {{ ax_y }}, {{ ax_z }}) | 模型 |</t>
        </is>
      </c>
    </row>
    <row r="132">
      <c r="A132" t="n">
        <v>23</v>
      </c>
      <c r="B132" t="inlineStr">
        <is>
          <t>| axis neg | ({{ neg_x }} / {{ neg_y }} / {{ neg_z }}) | 模型 |</t>
        </is>
      </c>
    </row>
    <row r="133"/>
    <row r="134">
      <c r="A134" s="11" t="inlineStr">
        <is>
          <t>## excel-codegen-meta</t>
        </is>
      </c>
    </row>
    <row r="135">
      <c r="A135" t="inlineStr">
        <is>
          <t>时间</t>
        </is>
      </c>
      <c r="B135" t="inlineStr">
        <is>
          <t>2026-09-27 16:02:21</t>
        </is>
      </c>
    </row>
    <row r="136">
      <c r="A136" t="inlineStr">
        <is>
          <t>输出指纹</t>
        </is>
      </c>
      <c r="B136" t="inlineStr">
        <is>
          <t>6da152cd11b8</t>
        </is>
      </c>
    </row>
    <row r="137">
      <c r="A137" t="inlineStr">
        <is>
          <t>参数指纹</t>
        </is>
      </c>
      <c r="B137" t="inlineStr">
        <is>
          <t>4e2df5a42a76</t>
        </is>
      </c>
    </row>
    <row r="138">
      <c r="A138" t="inlineStr">
        <is>
          <t>case 数</t>
        </is>
      </c>
      <c r="B138" t="inlineStr">
        <is>
          <t>3</t>
        </is>
      </c>
    </row>
    <row r="139">
      <c r="A139" t="inlineStr">
        <is>
          <t>cases</t>
        </is>
      </c>
      <c r="B139" t="inlineStr">
        <is>
          <t>EXT-T20.559-mu90-kf+1, EXT-T15-mu0-kf-1, EXT-T15-mu90-kf+1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2026-09-24T08:05:45Z</dcterms:created>
  <dcterms:modified xsi:type="dcterms:W3CDTF">2026-09-27T08:02:21Z</dcterms:modified>
</cp:coreProperties>
</file>