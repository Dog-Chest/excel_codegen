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TO" sheetId="1" state="visible" r:id="rId1"/>
    <sheet name="Global Parameter" sheetId="2" state="visible" r:id="rId2"/>
    <sheet name="Local Parameter" sheetId="3" state="visible" r:id="rId3"/>
    <sheet name="Tank Data" sheetId="4" state="visible" r:id="rId4"/>
    <sheet name="Code EXT" sheetId="5" state="visible" r:id="rId5"/>
    <sheet name="Summary EXT" sheetId="6" state="visible" r:id="rId6"/>
    <sheet name="Code INT" sheetId="7" state="visible" r:id="rId7"/>
    <sheet name="Summary INT" sheetId="8" state="visible" r:id="rId8"/>
    <sheet name="Template" sheetId="9" state="hidden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b val="1"/>
      <color rgb="00C00000"/>
    </font>
    <font>
      <b val="1"/>
      <color rgb="001F3864"/>
      <sz val="14"/>
    </font>
    <font>
      <color rgb="00606060"/>
      <sz val="9"/>
    </font>
    <font>
      <b val="1"/>
      <color rgb="001F3864"/>
      <sz val="11"/>
    </font>
    <font>
      <name val="Consolas"/>
      <sz val="10"/>
    </font>
    <font>
      <b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DEDE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6" fillId="4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top"/>
    </xf>
    <xf numFmtId="0" fontId="2" fillId="0" borderId="0" pivotButton="0" quotePrefix="0" xfId="0"/>
    <xf numFmtId="0" fontId="1" fillId="0" borderId="0" pivotButton="0" quotePrefix="0" xfId="0"/>
    <xf numFmtId="0" fontId="0" fillId="4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6" fillId="4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1" fillId="3" borderId="0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6" fillId="4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excel_codegen</author>
  </authors>
  <commentList>
    <comment ref="A2" authorId="0" shapeId="0">
      <text>
        <t>规范船长 [m]（3-1-1/3）；同时驱动 C_1 / k_lo / k_f
填写位置：Global 表 B 列（所有 Case 共用）
类型：float
前缀 / 后缀：'' / ' m'
默认值：340
模板里引用：{{ L }}</t>
      </text>
    </comment>
    <comment ref="A3" authorId="0" shapeId="0">
      <text>
        <t>规范型宽 [m]；B/2 决定舭部位置
填写位置：Global 表 B 列（所有 Case 共用）
类型：float
前缀 / 后缀：'' / ' m'
默认值：64
模板里引用：{{ B }}</t>
      </text>
    </comment>
    <comment ref="A4" authorId="0" shapeId="0">
      <text>
        <t>规范型深 [m]（基线到甲板）
填写位置：Global 表 B 列（所有 Case 共用）
类型：float
前缀 / 后缀：'' / ' m'
默认值：32
模板里引用：{{ D }}</t>
      </text>
    </comment>
    <comment ref="A5" authorId="0" shapeId="0">
      <text>
        <t>舭圆半径 [m]：z_bilge = r_b，平底宽 = B/2 - r_b
填写位置：Global 表 B 列（所有 Case 共用）
类型：float
前缀 / 后缀：'' / ' m'
默认值：0.703
模板里引用：{{ r_b }}</t>
      </text>
    </comment>
    <comment ref="A6" authorId="0" shapeId="0">
      <text>
        <t>甲板边线在载重线以上的余量 [m]；Fig. 10 的截断高度用它算
填写位置：Global 表 B 列（所有 Case 共用）
类型：float
前缀 / 后缀：'' / ' m'
默认值：0.5
模板里引用：{{ freeboard }}</t>
      </text>
    </comment>
    <comment ref="A7" authorId="0" shapeId="0">
      <text>
        <t>海水密度 [kg/m^3]；规范下限 1.005 N/cm^2-m 即 1025 kg/m^3
填写位置：Global 表 B 列（所有 Case 共用）
类型：float
前缀 / 后缀：'' / ' kg/m^3'
默认值：1025
模板里引用：{{ rho_sea }}</t>
      </text>
    </comment>
    <comment ref="A8" authorId="0" shapeId="0">
      <text>
        <t>重力加速度 [m/s^2]
填写位置：Global 表 B 列（所有 Case 共用）
类型：float
前缀 / 后缀：'' / ' m/s^2'
默认值：9.81
模板里引用：{{ g }}</t>
      </text>
    </comment>
    <comment ref="A9" authorId="0" shapeId="0">
      <text>
        <t>方形系数 [-]（3-1-1/13.3）
填写位置：Global 表 B 列（所有 Case 共用）
类型：float
默认值：1
模板里引用：{{ Cb }}</t>
      </text>
    </comment>
    <comment ref="A10" authorId="0" shapeId="0">
      <text>
        <t>规范 x（自 AP）取自模型哪个轴：1=x, 2=y, 3=z
填写位置：Global 表 B 列（所有 Case 共用）
类型：string
默认值：1
模板里引用：{{ ax_x }}</t>
      </text>
    </comment>
    <comment ref="A11" authorId="0" shapeId="0">
      <text>
        <t>规范 y（自中线，向右舷为正）取自模型哪个轴
填写位置：Global 表 B 列（所有 Case 共用）
类型：string
默认值：2
模板里引用：{{ ax_y }}</t>
      </text>
    </comment>
    <comment ref="A12" authorId="0" shapeId="0">
      <text>
        <t>规范 z（基线以上，向上为正）取自模型哪个轴
填写位置：Global 表 B 列（所有 Case 共用）
类型：string
默认值：3
模板里引用：{{ ax_z }}</t>
      </text>
    </comment>
    <comment ref="A13" authorId="0" shapeId="0">
      <text>
        <t>规范 x 是否取反：填 - 表示取反，留空表示不取反
填写位置：Global 表 B 列（所有 Case 共用）
类型：string
模板里引用：{{ neg_x }}</t>
      </text>
    </comment>
    <comment ref="A14" authorId="0" shapeId="0">
      <text>
        <t>规范 y 是否取反：填 - 表示取反，留空表示不取反
填写位置：Global 表 B 列（所有 Case 共用）
类型：string
模板里引用：{{ neg_y }}</t>
      </text>
    </comment>
    <comment ref="A15" authorId="0" shapeId="0">
      <text>
        <t>规范 z 是否取反：填 - 表示取反，留空表示不取反
填写位置：Global 表 B 列（所有 Case 共用）
类型：string
模板里引用：{{ neg_z }}</t>
      </text>
    </comment>
    <comment ref="A16" authorId="0" shapeId="0">
      <text>
        <t>结构吃水 [m]；规范表按它给出，GM 四点表也按它插值
填写位置：Global 表 B 列（所有 Case 共用）
类型：float
前缀 / 后缀：'' / ' m'
默认值：20.559
模板里引用：{{ d_f }}</t>
      </text>
    </comment>
    <comment ref="A17" authorId="0" shapeId="0">
      <text>
        <t>k_s = 0.878 对应的 rho g [N/m^3]（1.005 N/cm^2-m = 10050）
填写位置：Global 表 B 列（所有 Case 共用）
类型：float
前缀 / 后缀：'' / ' N/m^3'
默认值：10050
模板里引用：{{ rho_g_lo }}</t>
      </text>
    </comment>
    <comment ref="A18" authorId="0" shapeId="0">
      <text>
        <t>k_s 达到 1.0 的 rho g [N/m^3]（1.118 N/cm^2-m = 11180）
填写位置：Global 表 B 列（所有 Case 共用）
类型：float
前缀 / 后缀：'' / ' N/m^3'
默认值：11180
模板里引用：{{ rho_g_hi }}</t>
      </text>
    </comment>
  </commentList>
</comments>
</file>

<file path=xl/comments/comment2.xml><?xml version="1.0" encoding="utf-8"?>
<comments xmlns="http://schemas.openxmlformats.org/spreadsheetml/2006/main">
  <authors>
    <author>excel_codegen</author>
  </authors>
  <commentList>
    <comment ref="A2" authorId="0" shapeId="0">
      <text>
        <t>这个 Case 属于哪一套规则：EXT / INT（多规则集合用时用 case_filter 分流）
填写位置：Local 表 E 列起（一个 Case 一列）
类型：string
默认值：EXT
模板里引用：{{ kind }}</t>
      </text>
    </comment>
    <comment ref="A3" authorId="0" shapeId="0">
      <text>
        <t>工况吃水 [m]；h_s = draft - z，负值截断为 0
填写位置：Local 表 E 列起（一个 Case 一列）
类型：float
前缀 / 后缀：'' / ' m'
默认值：20.559
模板里引用：{{ draft }}</t>
      </text>
    </comment>
    <comment ref="A4" authorId="0" shapeId="0">
      <text>
        <t>浪向角 [deg]，0 = 顶浪，90 = 右舷来浪（Table 1A D）
填写位置：Local 表 E 列起（一个 Case 一列）
类型：float
前缀 / 后缀：'' / ' deg'
默认值：90
模板里引用：{{ mu_deg }}</t>
      </text>
    </comment>
    <comment ref="A5" authorId="0" shapeId="0">
      <text>
        <t>组合工况相关系数 [-]，进 h_de = k_c h_di（Table 1A B）
填写位置：Local 表 E 列起（一个 Case 一列）
类型：float
默认值：1
模板里引用：{{ k_c }}</t>
      </text>
    </comment>
    <comment ref="A6" authorId="0" shapeId="0">
      <text>
        <t>相位因子 +1 / -1 [-]，决定参考站落在哪一端（Table 1A B）
填写位置：Local 表 E 列起（一个 Case 一列）
类型：float
默认值：1
模板里引用：{{ k_f0 }}</t>
      </text>
    </comment>
    <comment ref="A7" authorId="0" shapeId="0">
      <text>
        <t>载荷系数 [-]；规范默认 1.0，1.1 用于板与纵骨的工况
填写位置：Local 表 E 列起（一个 Case 一列）
类型：float
默认值：1.1
模板里引用：{{ k_u }}</t>
      </text>
    </comment>
    <comment ref="A8" authorId="0" shapeId="0">
      <text>
        <t>外压 ESF，右舷 [-]（5A-3-A1/3）
填写位置：Local 表 E 列起（一个 Case 一列）
类型：float
默认值：0.733
模板里引用：{{ beta_EPS }}</t>
      </text>
    </comment>
    <comment ref="A9" authorId="0" shapeId="0">
      <text>
        <t>外压 ESF，左舷 [-]（5A-3-A1/3）
填写位置：Local 表 E 列起（一个 Case 一列）
类型：float
默认值：0.733
模板里引用：{{ beta_EPP }}</t>
      </text>
    </comment>
    <comment ref="A10" authorId="0" shapeId="0">
      <text>
        <t>项目对 ESF 的分项系数 [-]
填写位置：Local 表 E 列起（一个 Case 一列）
类型：float
默认值：1.1
模板里引用：{{ k_esf }}</t>
      </text>
    </comment>
    <comment ref="A11" authorId="0" shapeId="0">
      <text>
        <t>参考站 [m]，自 AP 量起（Fig. 9 脚注）
填写位置：Local 表 E 列起（一个 Case 一列）
类型：float
前缀 / 后缀：'' / ' m'
默认值：51
模板里引用：{{ x_o }}</t>
      </text>
    </comment>
    <comment ref="A12" authorId="0" shapeId="0">
      <text>
        <t>垂向加速度 ESF [-]（5A-3-A1/3）
填写位置：Local 表 E 列起（一个 Case 一列）
类型：float
默认值：0.66
模板里引用：{{ beta_VAC }}</t>
      </text>
    </comment>
    <comment ref="A13" authorId="0" shapeId="0">
      <text>
        <t>纵向加速度 ESF [-]
填写位置：Local 表 E 列起（一个 Case 一列）
类型：float
默认值：0.758
模板里引用：{{ beta_LAC }}</t>
      </text>
    </comment>
    <comment ref="A14" authorId="0" shapeId="0">
      <text>
        <t>横向加速度 ESF [-]
填写位置：Local 表 E 列起（一个 Case 一列）
类型：float
默认值：0.557
模板里引用：{{ beta_TAC }}</t>
      </text>
    </comment>
    <comment ref="A15" authorId="0" shapeId="0">
      <text>
        <t>纵摇 ESF [-]
填写位置：Local 表 E 列起（一个 Case 一列）
类型：float
默认值：0.686
模板里引用：{{ beta_PMO }}</t>
      </text>
    </comment>
    <comment ref="A16" authorId="0" shapeId="0">
      <text>
        <t>横摇 ESF [-]
填写位置：Local 表 E 列起（一个 Case 一列）
类型：float
默认值：0.492
模板里引用：{{ beta_RMO }}</t>
      </text>
    </comment>
    <comment ref="A17" authorId="0" shapeId="0">
      <text>
        <t>垂向加速度权重 [-]（Table 1A B）
填写位置：Local 表 E 列起（一个 Case 一列）
类型：float
默认值：0.75
模板里引用：{{ w_v }}</t>
      </text>
    </comment>
    <comment ref="A18" authorId="0" shapeId="0">
      <text>
        <t>纵向加速度权重 [-]
填写位置：Local 表 E 列起（一个 Case 一列）
类型：float
默认值：0.25
模板里引用：{{ w_l }}</t>
      </text>
    </comment>
    <comment ref="A19" authorId="0" shapeId="0">
      <text>
        <t>横向加速度权重 [-]
填写位置：Local 表 E 列起（一个 Case 一列）
类型：float
默认值：0.75
模板里引用：{{ w_t }}</t>
      </text>
    </comment>
    <comment ref="A20" authorId="0" shapeId="0">
      <text>
        <t>舱长方向参考位置 [m]（5.7.2(b)）
填写位置：Local 表 E 列起（一个 Case 一列）
类型：float
前缀 / 后缀：'' / ' m'
默认值：21
模板里引用：{{ xi }}</t>
      </text>
    </comment>
    <comment ref="A21" authorId="0" shapeId="0">
      <text>
        <t>舱宽方向修正 [m]（5.7.2(b)）；无则填 0
填写位置：Local 表 E 列起（一个 Case 一列）
类型：float
前缀 / 后缀：'' / ' m'
默认值：0
模板里引用：{{ delta_b }}</t>
      </text>
    </comment>
    <comment ref="A22" authorId="0" shapeId="0">
      <text>
        <t>舱高方向修正 [m]（5.7.2(b)）；无则填 0
填写位置：Local 表 E 列起（一个 Case 一列）
类型：float
前缀 / 后缀：'' / ' m'
默认值：0
模板里引用：{{ delta_h }}</t>
      </text>
    </comment>
    <comment ref="A23" authorId="0" shapeId="0">
      <text>
        <t>本 Case 用哪个舱（成员表的行名）
填写位置：Local 表 E 列起（一个 Case 一列）
类型：string
约束：可选: WBT6 / WBT7 / COT1
默认值：WBT6
模板里引用：{{ tank_ref }}</t>
      </text>
    </comment>
  </commentList>
</comments>
</file>

<file path=xl/comments/comment3.xml><?xml version="1.0" encoding="utf-8"?>
<comments xmlns="http://schemas.openxmlformats.org/spreadsheetml/2006/main">
  <authors>
    <author>excel_codegen</author>
  </authors>
  <commentList>
    <comment ref="B1" authorId="0" shapeId="0">
      <text>
        <t>舱内液体密度 [kg/m^3]
填写位置：成员表（Tank Data）：一行一个成员
类型：float
前缀 / 后缀：'' / ' kg/m^3'
默认值：1025
模板里引用：{{ rho_tank }}</t>
      </text>
    </comment>
    <comment ref="C1" authorId="0" shapeId="0">
      <text>
        <t>舱长 [m]（Fig. 11）
填写位置：成员表（Tank Data）：一行一个成员
类型：float
前缀 / 后缀：'' / ' m'
默认值：42
模板里引用：{{ l_tank }}</t>
      </text>
    </comment>
    <comment ref="D1" authorId="0" shapeId="0">
      <text>
        <t>舱宽 [m]（Fig. 11）
填写位置：成员表（Tank Data）：一行一个成员
类型：float
前缀 / 后缀：'' / ' m'
默认值：32
模板里引用：{{ b_tank }}</t>
      </text>
    </comment>
    <comment ref="E1" authorId="0" shapeId="0">
      <text>
        <t>舱高 [m]（Fig. 11）
填写位置：成员表（Tank Data）：一行一个成员
类型：float
前缀 / 后缀：'' / ' m'
默认值：32
模板里引用：{{ h_tank }}</t>
      </text>
    </comment>
    <comment ref="F1" authorId="0" shapeId="0">
      <text>
        <t>甲板以上高度 [m]
填写位置：成员表（Tank Data）：一行一个成员
类型：float
前缀 / 后缀：'' / ' m'
默认值：0
模板里引用：{{ eta_deck }}</t>
      </text>
    </comment>
    <comment ref="G1" authorId="0" shapeId="0">
      <text>
        <t>溢流管高度 [m]；Fig. 12 要求取 2/3 且不低于 760 mm
填写位置：成员表（Tank Data）：一行一个成员
类型：float
前缀 / 后缀：'' / ' m'
默认值：0
模板里引用：{{ eta_overflow }}</t>
      </text>
    </comment>
    <comment ref="H1" authorId="0" shapeId="0">
      <text>
        <t>舱形系数 [-]（5.7.2(d)）：矩形 1.0，J 形 0.7
填写位置：成员表（Tank Data）：一行一个成员
类型：float
默认值：1
模板里引用：{{ C_dp }}</t>
      </text>
    </comment>
    <comment ref="I1" authorId="0" shapeId="0">
      <text>
        <t>舱形系数 [-]（5.7.2(d)）：矩形 1.0，U 形 0.7
填写位置：成员表（Tank Data）：一行一个成员
类型：float
默认值：1
模板里引用：{{ C_ru }}</t>
      </text>
    </comment>
    <comment ref="J1" authorId="0" shapeId="0">
      <text>
        <t>真空/压力阀整定压力 [N/cm^2]
填写位置：成员表（Tank Data）：一行一个成员
类型：float
前缀 / 后缀：'' / ' N/cm^2'
默认值：0
模板里引用：{{ p_vp }}</t>
      </text>
    </comment>
    <comment ref="K1" authorId="0" shapeId="0">
      <text>
        <t>完整稳性 GM [m]；填 0 时用规范估算 0.12 B
填写位置：成员表（Tank Data）：一行一个成员
类型：float
前缀 / 后缀：'' / ' m'
默认值：0
模板里引用：{{ GM_full_in }}</t>
      </text>
    </comment>
    <comment ref="L1" authorId="0" shapeId="0">
      <text>
        <t>横摇惯性半径 [m]；填 0 时用规范估算（0.35 B / 0.45 B）
填写位置：成员表（Tank Data）：一行一个成员
类型：float
前缀 / 后缀：'' / ' m'
默认值：0
模板里引用：{{ k_r_in }}</t>
      </text>
    </comment>
    <comment ref="M1" authorId="0" shapeId="0">
      <text>
        <t>压载舱 1 / 货舱 0；决定 k_s 是否取 1
填写位置：成员表（Tank Data）：一行一个成员
类型：int
默认值：1
模板里引用：{{ tank_is_ballast }}</t>
      </text>
    </comment>
    <comment ref="N1" authorId="0" shapeId="0">
      <text>
        <t>构件是否属于 5.7 表 3 的 11..17 项（1 = 是）
填写位置：成员表（Tank Data）：一行一个成员
类型：int
默认值：0
模板里引用：{{ member_11_17 }}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0" t="inlineStr">
        <is>
          <t>ABS_FPI_load_cases.xlsx —— 参数填写与代码生成说明</t>
        </is>
      </c>
    </row>
    <row r="2">
      <c r="A2" s="21" t="inlineStr"/>
    </row>
    <row r="3">
      <c r="A3" s="22" t="inlineStr">
        <is>
          <t>这个工作簿怎么用</t>
        </is>
      </c>
    </row>
    <row r="4">
      <c r="A4" s="21" t="inlineStr">
        <is>
          <t xml:space="preserve">  1.  Global Parameter 的 B 列：全局变量取值（所有 Case 共用）。</t>
        </is>
      </c>
    </row>
    <row r="5">
      <c r="A5" s="21" t="inlineStr">
        <is>
          <t xml:space="preserve">  2.  Local Parameter 从 E 列起：每个 Case 一列，右拉复制即可增加。</t>
        </is>
      </c>
    </row>
    <row r="6">
      <c r="A6" s="21" t="inlineStr">
        <is>
          <t xml:space="preserve">  3.  改完参数后回到命令行执行：</t>
        </is>
      </c>
    </row>
    <row r="7">
      <c r="A7" s="23" t="inlineStr">
        <is>
          <t xml:space="preserve">          excel-codegen render -c &lt;配置&gt;.yaml -x ABS_FPI_load_cases.xlsx --write-excel</t>
        </is>
      </c>
    </row>
    <row r="8">
      <c r="A8" s="21" t="inlineStr">
        <is>
          <t xml:space="preserve">      只想导出代码文件就换成 --outdir &lt;目录&gt;；只预览不写回则什么参数都不加。</t>
        </is>
      </c>
    </row>
    <row r="9">
      <c r="A9" s="21" t="inlineStr">
        <is>
          <t xml:space="preserve">      ★ 懒得开终端就双击本文件旁边的 ABS_FPI_load_cases_render.bat（Windows）或跑 ABS_FPI_load_cases_render.sh（Linux / macOS）。</t>
        </is>
      </c>
    </row>
    <row r="10">
      <c r="A10" s="21" t="inlineStr">
        <is>
          <t xml:space="preserve">      想确认表里的代码是不是已经过期：excel-codegen check -c &lt;配置&gt;.yaml</t>
        </is>
      </c>
    </row>
    <row r="11">
      <c r="A11" s="21" t="inlineStr"/>
    </row>
    <row r="12">
      <c r="A12" s="22" t="inlineStr">
        <is>
          <t>★  部分输出表是公式（engine: excel）：改参数后 Excel 打开即重算，不用跑脚本</t>
        </is>
      </c>
    </row>
    <row r="13">
      <c r="A13" s="21" t="inlineStr">
        <is>
          <t xml:space="preserve">   公式支持占位符替换与行内分支（{% if %}）；要生成代码文件（--outdir）或做 CI 检查（check）仍需命令行。</t>
        </is>
      </c>
    </row>
    <row r="14">
      <c r="A14" s="21" t="inlineStr">
        <is>
          <t xml:space="preserve">   不带 --write-excel 的 render 只预览，不会改变本文件。</t>
        </is>
      </c>
    </row>
    <row r="15">
      <c r="A15" s="21" t="inlineStr"/>
    </row>
    <row r="16">
      <c r="A16" s="22" t="inlineStr">
        <is>
          <t>输出位置</t>
        </is>
      </c>
    </row>
    <row r="17">
      <c r="A17" s="24" t="inlineStr">
        <is>
          <t xml:space="preserve">  genie_ext: Code EXT @ B2 (horizontal)［公式·自动重算］，case_filter: kind == 'EXT'</t>
        </is>
      </c>
    </row>
    <row r="18">
      <c r="A18" s="24" t="inlineStr">
        <is>
          <t xml:space="preserve">  ext_summary: Summary EXT @ B2 (vertical)［公式·自动重算］，case_filter: kind == 'EXT'</t>
        </is>
      </c>
    </row>
    <row r="19">
      <c r="A19" s="24" t="inlineStr">
        <is>
          <t xml:space="preserve">  genie_int: Code INT @ B2 (horizontal)［公式·自动重算］，case_filter: kind == 'INT'</t>
        </is>
      </c>
    </row>
    <row r="20">
      <c r="A20" s="24" t="inlineStr">
        <is>
          <t xml:space="preserve">  int_summary: Summary INT @ B2 (vertical)［公式·自动重算］，case_filter: kind == 'INT'</t>
        </is>
      </c>
    </row>
    <row r="21">
      <c r="A21" s="21" t="inlineStr">
        <is>
          <t xml:space="preserve">  Template（隐藏）：模板原文，只读参考，改它不影响渲染结果。</t>
        </is>
      </c>
    </row>
    <row r="22">
      <c r="A22" s="21" t="inlineStr"/>
    </row>
    <row r="23">
      <c r="A23" s="22" t="inlineStr">
        <is>
          <t>本次生成</t>
        </is>
      </c>
    </row>
    <row r="24">
      <c r="A24" s="21" t="inlineStr">
        <is>
          <t xml:space="preserve">  时间        2026-09-27 16:02:21</t>
        </is>
      </c>
    </row>
    <row r="25">
      <c r="A25" s="21" t="inlineStr">
        <is>
          <t xml:space="preserve">  输出指纹      2c9e2063277a</t>
        </is>
      </c>
    </row>
    <row r="26">
      <c r="A26" s="21" t="inlineStr">
        <is>
          <t xml:space="preserve">  参数指纹      b97af7c6cc63</t>
        </is>
      </c>
    </row>
    <row r="27">
      <c r="A27" s="21" t="inlineStr">
        <is>
          <t xml:space="preserve">  case 数    7</t>
        </is>
      </c>
    </row>
    <row r="28">
      <c r="A28" s="21" t="inlineStr">
        <is>
          <t xml:space="preserve">  cases     EXT-T20.559-mu90-kf+1, EXT-T15-mu0-kf-1, EXT-T15-mu90-kf+1, WBT6-d8-mu90, WBT6-d15.059-mu0, WBT7-d20.559-mu90, COT1-d20.559-mu60</t>
        </is>
      </c>
    </row>
    <row r="29">
      <c r="A29" s="24" t="inlineStr">
        <is>
          <t xml:space="preserve">  命令      python build.py  (abs_fpi.yaml)</t>
        </is>
      </c>
    </row>
    <row r="30">
      <c r="A30" s="21" t="inlineStr"/>
    </row>
    <row r="31">
      <c r="A31" s="22" t="inlineStr">
        <is>
          <t>工况一览（来自上一次渲染）</t>
        </is>
      </c>
    </row>
    <row r="32">
      <c r="A32" s="24" t="inlineStr">
        <is>
          <t xml:space="preserve">  EXT-T20.559-mu90-kf+1, EXT-T15-mu0-kf-1, EXT-T15-mu90-kf+1, WBT6-d8-mu90, WBT6-d15.059-mu0, WBT7-d20.559-mu90, COT1-d20.559-mu60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46" customWidth="1" min="3" max="3"/>
    <col width="16" customWidth="1" min="4" max="4"/>
    <col width="16" customWidth="1" min="5" max="5"/>
  </cols>
  <sheetData>
    <row r="1">
      <c r="A1" s="7" t="inlineStr">
        <is>
          <t>Variable</t>
        </is>
      </c>
      <c r="B1" s="7" t="inlineStr">
        <is>
          <t>Value</t>
        </is>
      </c>
      <c r="C1" s="7" t="inlineStr">
        <is>
          <t>Description</t>
        </is>
      </c>
      <c r="D1" s="7" t="inlineStr">
        <is>
          <t>Prefix</t>
        </is>
      </c>
      <c r="E1" s="8" t="inlineStr">
        <is>
          <t>Suffix</t>
        </is>
      </c>
    </row>
    <row r="2">
      <c r="A2" t="inlineStr">
        <is>
          <t>L</t>
        </is>
      </c>
      <c r="B2" s="13" t="n">
        <v>340</v>
      </c>
      <c r="C2" t="inlineStr">
        <is>
          <t>规范船长 [m]（3-1-1/3）；同时驱动 C_1 / k_lo / k_f</t>
        </is>
      </c>
      <c r="E2" t="inlineStr">
        <is>
          <t xml:space="preserve"> m</t>
        </is>
      </c>
    </row>
    <row r="3">
      <c r="A3" t="inlineStr">
        <is>
          <t>B</t>
        </is>
      </c>
      <c r="B3" s="13" t="n">
        <v>64</v>
      </c>
      <c r="C3" t="inlineStr">
        <is>
          <t>规范型宽 [m]；B/2 决定舭部位置</t>
        </is>
      </c>
      <c r="E3" t="inlineStr">
        <is>
          <t xml:space="preserve"> m</t>
        </is>
      </c>
    </row>
    <row r="4">
      <c r="A4" t="inlineStr">
        <is>
          <t>D</t>
        </is>
      </c>
      <c r="B4" s="13" t="n">
        <v>32</v>
      </c>
      <c r="C4" t="inlineStr">
        <is>
          <t>规范型深 [m]（基线到甲板）</t>
        </is>
      </c>
      <c r="E4" t="inlineStr">
        <is>
          <t xml:space="preserve"> m</t>
        </is>
      </c>
    </row>
    <row r="5">
      <c r="A5" t="inlineStr">
        <is>
          <t>r_b</t>
        </is>
      </c>
      <c r="B5" s="13" t="n">
        <v>0.703</v>
      </c>
      <c r="C5" t="inlineStr">
        <is>
          <t>舭圆半径 [m]：z_bilge = r_b，平底宽 = B/2 - r_b</t>
        </is>
      </c>
      <c r="E5" t="inlineStr">
        <is>
          <t xml:space="preserve"> m</t>
        </is>
      </c>
    </row>
    <row r="6">
      <c r="A6" t="inlineStr">
        <is>
          <t>freeboard</t>
        </is>
      </c>
      <c r="B6" s="13" t="n">
        <v>0.5</v>
      </c>
      <c r="C6" t="inlineStr">
        <is>
          <t>甲板边线在载重线以上的余量 [m]；Fig. 10 的截断高度用它算</t>
        </is>
      </c>
      <c r="E6" t="inlineStr">
        <is>
          <t xml:space="preserve"> m</t>
        </is>
      </c>
    </row>
    <row r="7">
      <c r="A7" t="inlineStr">
        <is>
          <t>rho_sea</t>
        </is>
      </c>
      <c r="B7" s="13" t="n">
        <v>1025</v>
      </c>
      <c r="C7" t="inlineStr">
        <is>
          <t>海水密度 [kg/m^3]；规范下限 1.005 N/cm^2-m 即 1025 kg/m^3</t>
        </is>
      </c>
      <c r="E7" t="inlineStr">
        <is>
          <t xml:space="preserve"> kg/m^3</t>
        </is>
      </c>
    </row>
    <row r="8">
      <c r="A8" t="inlineStr">
        <is>
          <t>g</t>
        </is>
      </c>
      <c r="B8" s="13" t="n">
        <v>9.81</v>
      </c>
      <c r="C8" t="inlineStr">
        <is>
          <t>重力加速度 [m/s^2]</t>
        </is>
      </c>
      <c r="E8" t="inlineStr">
        <is>
          <t xml:space="preserve"> m/s^2</t>
        </is>
      </c>
    </row>
    <row r="9">
      <c r="A9" t="inlineStr">
        <is>
          <t>Cb</t>
        </is>
      </c>
      <c r="B9" s="13" t="n">
        <v>1</v>
      </c>
      <c r="C9" t="inlineStr">
        <is>
          <t>方形系数 [-]（3-1-1/13.3）</t>
        </is>
      </c>
    </row>
    <row r="10">
      <c r="A10" t="inlineStr">
        <is>
          <t>ax_x</t>
        </is>
      </c>
      <c r="B10" s="13" t="inlineStr">
        <is>
          <t>1</t>
        </is>
      </c>
      <c r="C10" t="inlineStr">
        <is>
          <t>规范 x（自 AP）取自模型哪个轴：1=x, 2=y, 3=z</t>
        </is>
      </c>
    </row>
    <row r="11">
      <c r="A11" t="inlineStr">
        <is>
          <t>ax_y</t>
        </is>
      </c>
      <c r="B11" s="13" t="inlineStr">
        <is>
          <t>2</t>
        </is>
      </c>
      <c r="C11" t="inlineStr">
        <is>
          <t>规范 y（自中线，向右舷为正）取自模型哪个轴</t>
        </is>
      </c>
    </row>
    <row r="12">
      <c r="A12" t="inlineStr">
        <is>
          <t>ax_z</t>
        </is>
      </c>
      <c r="B12" s="13" t="inlineStr">
        <is>
          <t>3</t>
        </is>
      </c>
      <c r="C12" t="inlineStr">
        <is>
          <t>规范 z（基线以上，向上为正）取自模型哪个轴</t>
        </is>
      </c>
    </row>
    <row r="13">
      <c r="A13" t="inlineStr">
        <is>
          <t>neg_x</t>
        </is>
      </c>
      <c r="B13" s="13" t="inlineStr"/>
      <c r="C13" t="inlineStr">
        <is>
          <t>规范 x 是否取反：填 - 表示取反，留空表示不取反</t>
        </is>
      </c>
    </row>
    <row r="14">
      <c r="A14" t="inlineStr">
        <is>
          <t>neg_y</t>
        </is>
      </c>
      <c r="B14" s="13" t="inlineStr"/>
      <c r="C14" t="inlineStr">
        <is>
          <t>规范 y 是否取反：填 - 表示取反，留空表示不取反</t>
        </is>
      </c>
    </row>
    <row r="15">
      <c r="A15" t="inlineStr">
        <is>
          <t>neg_z</t>
        </is>
      </c>
      <c r="B15" s="13" t="inlineStr"/>
      <c r="C15" t="inlineStr">
        <is>
          <t>规范 z 是否取反：填 - 表示取反，留空表示不取反</t>
        </is>
      </c>
    </row>
    <row r="16">
      <c r="A16" t="inlineStr">
        <is>
          <t>d_f</t>
        </is>
      </c>
      <c r="B16" s="13" t="n">
        <v>20.559</v>
      </c>
      <c r="C16" t="inlineStr">
        <is>
          <t>结构吃水 [m]；规范表按它给出，GM 四点表也按它插值</t>
        </is>
      </c>
      <c r="E16" t="inlineStr">
        <is>
          <t xml:space="preserve"> m</t>
        </is>
      </c>
    </row>
    <row r="17">
      <c r="A17" t="inlineStr">
        <is>
          <t>rho_g_lo</t>
        </is>
      </c>
      <c r="B17" s="13" t="n">
        <v>10050</v>
      </c>
      <c r="C17" t="inlineStr">
        <is>
          <t>k_s = 0.878 对应的 rho g [N/m^3]（1.005 N/cm^2-m = 10050）</t>
        </is>
      </c>
      <c r="E17" t="inlineStr">
        <is>
          <t xml:space="preserve"> N/m^3</t>
        </is>
      </c>
    </row>
    <row r="18">
      <c r="A18" t="inlineStr">
        <is>
          <t>rho_g_hi</t>
        </is>
      </c>
      <c r="B18" s="13" t="n">
        <v>11180</v>
      </c>
      <c r="C18" t="inlineStr">
        <is>
          <t>k_s 达到 1.0 的 rho g [N/m^3]（1.118 N/cm^2-m = 11180）</t>
        </is>
      </c>
      <c r="E18" t="inlineStr">
        <is>
          <t xml:space="preserve"> N/m^3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16" customWidth="1" min="3" max="3"/>
    <col width="16" customWidth="1" min="4" max="4"/>
    <col width="27" customWidth="1" min="5" max="5"/>
    <col width="22" customWidth="1" min="6" max="6"/>
    <col width="23" customWidth="1" min="7" max="7"/>
    <col width="18" customWidth="1" min="8" max="8"/>
    <col width="22" customWidth="1" min="9" max="9"/>
    <col width="23" customWidth="1" min="10" max="10"/>
    <col width="23" customWidth="1" min="11" max="11"/>
  </cols>
  <sheetData>
    <row r="1">
      <c r="A1" s="7" t="inlineStr">
        <is>
          <t>Variable</t>
        </is>
      </c>
      <c r="B1" s="7" t="inlineStr">
        <is>
          <t>Description</t>
        </is>
      </c>
      <c r="C1" s="7" t="inlineStr">
        <is>
          <t>Prefix</t>
        </is>
      </c>
      <c r="D1" s="7" t="inlineStr">
        <is>
          <t>Suffix</t>
        </is>
      </c>
      <c r="E1" s="8" t="inlineStr">
        <is>
          <t>EXT-T20.559-mu90-kf+1</t>
        </is>
      </c>
      <c r="F1" s="8" t="inlineStr">
        <is>
          <t>EXT-T15-mu0-kf-1</t>
        </is>
      </c>
      <c r="G1" s="8" t="inlineStr">
        <is>
          <t>EXT-T15-mu90-kf+1</t>
        </is>
      </c>
      <c r="H1" s="8" t="inlineStr">
        <is>
          <t>WBT6-d8-mu90</t>
        </is>
      </c>
      <c r="I1" s="8" t="inlineStr">
        <is>
          <t>WBT6-d15.059-mu0</t>
        </is>
      </c>
      <c r="J1" s="8" t="inlineStr">
        <is>
          <t>WBT7-d20.559-mu90</t>
        </is>
      </c>
      <c r="K1" s="8" t="inlineStr">
        <is>
          <t>COT1-d20.559-mu60</t>
        </is>
      </c>
    </row>
    <row r="2">
      <c r="A2" t="inlineStr">
        <is>
          <t>kind</t>
        </is>
      </c>
      <c r="B2" t="inlineStr">
        <is>
          <t>这个 Case 属于哪一套规则：EXT / INT（多规则集合用时用 case_filter 分流）</t>
        </is>
      </c>
      <c r="E2" s="13" t="inlineStr">
        <is>
          <t>EXT</t>
        </is>
      </c>
      <c r="F2" s="13" t="inlineStr">
        <is>
          <t>EXT</t>
        </is>
      </c>
      <c r="G2" s="13" t="inlineStr">
        <is>
          <t>EXT</t>
        </is>
      </c>
      <c r="H2" s="13" t="inlineStr">
        <is>
          <t>INT</t>
        </is>
      </c>
      <c r="I2" s="13" t="inlineStr">
        <is>
          <t>INT</t>
        </is>
      </c>
      <c r="J2" s="13" t="inlineStr">
        <is>
          <t>INT</t>
        </is>
      </c>
      <c r="K2" s="13" t="inlineStr">
        <is>
          <t>INT</t>
        </is>
      </c>
    </row>
    <row r="3">
      <c r="A3" t="inlineStr">
        <is>
          <t>draft</t>
        </is>
      </c>
      <c r="B3" t="inlineStr">
        <is>
          <t>工况吃水 [m]；h_s = draft - z，负值截断为 0</t>
        </is>
      </c>
      <c r="D3" t="inlineStr">
        <is>
          <t xml:space="preserve"> m</t>
        </is>
      </c>
      <c r="E3" s="13" t="n">
        <v>20.559</v>
      </c>
      <c r="F3" s="13" t="n">
        <v>15</v>
      </c>
      <c r="G3" s="13" t="n">
        <v>15</v>
      </c>
      <c r="H3" s="13" t="n">
        <v>8</v>
      </c>
      <c r="I3" s="13" t="n">
        <v>15.059</v>
      </c>
      <c r="J3" s="13" t="n">
        <v>20.559</v>
      </c>
      <c r="K3" s="13" t="n">
        <v>20.559</v>
      </c>
    </row>
    <row r="4">
      <c r="A4" t="inlineStr">
        <is>
          <t>mu_deg</t>
        </is>
      </c>
      <c r="B4" t="inlineStr">
        <is>
          <t>浪向角 [deg]，0 = 顶浪，90 = 右舷来浪（Table 1A D）</t>
        </is>
      </c>
      <c r="D4" t="inlineStr">
        <is>
          <t xml:space="preserve"> deg</t>
        </is>
      </c>
      <c r="E4" s="13" t="n">
        <v>90</v>
      </c>
      <c r="F4" s="13" t="n">
        <v>0</v>
      </c>
      <c r="G4" s="13" t="n">
        <v>90</v>
      </c>
      <c r="H4" s="13" t="n">
        <v>90</v>
      </c>
      <c r="I4" s="13" t="n">
        <v>0</v>
      </c>
      <c r="J4" s="13" t="n">
        <v>90</v>
      </c>
      <c r="K4" s="13" t="n">
        <v>60</v>
      </c>
    </row>
    <row r="5">
      <c r="A5" t="inlineStr">
        <is>
          <t>k_c</t>
        </is>
      </c>
      <c r="B5" t="inlineStr">
        <is>
          <t>组合工况相关系数 [-]，进 h_de = k_c h_di（Table 1A B）</t>
        </is>
      </c>
      <c r="E5" s="13" t="n">
        <v>1</v>
      </c>
      <c r="F5" s="13" t="n">
        <v>0.5</v>
      </c>
      <c r="G5" s="13" t="n">
        <v>1</v>
      </c>
      <c r="H5" s="13" t="n">
        <v>1</v>
      </c>
      <c r="I5" s="13" t="n">
        <v>0.4</v>
      </c>
      <c r="J5" s="13" t="n">
        <v>1</v>
      </c>
      <c r="K5" s="13" t="n">
        <v>0.5</v>
      </c>
    </row>
    <row r="6">
      <c r="A6" t="inlineStr">
        <is>
          <t>k_f0</t>
        </is>
      </c>
      <c r="B6" t="inlineStr">
        <is>
          <t>相位因子 +1 / -1 [-]，决定参考站落在哪一端（Table 1A B）</t>
        </is>
      </c>
      <c r="E6" s="13" t="n">
        <v>1</v>
      </c>
      <c r="F6" s="13" t="n">
        <v>-1</v>
      </c>
      <c r="G6" s="13" t="n">
        <v>1</v>
      </c>
      <c r="H6" s="13" t="n">
        <v>1</v>
      </c>
      <c r="I6" s="13" t="n">
        <v>1</v>
      </c>
      <c r="J6" s="13" t="n">
        <v>1</v>
      </c>
      <c r="K6" s="13" t="n">
        <v>1</v>
      </c>
    </row>
    <row r="7">
      <c r="A7" t="inlineStr">
        <is>
          <t>k_u</t>
        </is>
      </c>
      <c r="B7" t="inlineStr">
        <is>
          <t>载荷系数 [-]；规范默认 1.0，1.1 用于板与纵骨的工况</t>
        </is>
      </c>
      <c r="E7" s="13" t="n">
        <v>1.1</v>
      </c>
      <c r="F7" s="13" t="n">
        <v>1.1</v>
      </c>
      <c r="G7" s="13" t="n">
        <v>1.1</v>
      </c>
      <c r="H7" s="13" t="n">
        <v>1.1</v>
      </c>
      <c r="I7" s="13" t="n">
        <v>1.1</v>
      </c>
      <c r="J7" s="13" t="n">
        <v>1.1</v>
      </c>
      <c r="K7" s="13" t="n">
        <v>1.1</v>
      </c>
    </row>
    <row r="8">
      <c r="A8" t="inlineStr">
        <is>
          <t>beta_EPS</t>
        </is>
      </c>
      <c r="B8" t="inlineStr">
        <is>
          <t>外压 ESF，右舷 [-]（5A-3-A1/3）</t>
        </is>
      </c>
      <c r="E8" s="13" t="n">
        <v>0.733</v>
      </c>
      <c r="F8" s="13" t="n">
        <v>0.733</v>
      </c>
      <c r="G8" s="13" t="n">
        <v>0.733</v>
      </c>
      <c r="H8" s="13" t="n">
        <v>0.733</v>
      </c>
      <c r="I8" s="13" t="n">
        <v>0.733</v>
      </c>
      <c r="J8" s="13" t="n">
        <v>0.733</v>
      </c>
      <c r="K8" s="13" t="n">
        <v>0.733</v>
      </c>
    </row>
    <row r="9">
      <c r="A9" t="inlineStr">
        <is>
          <t>beta_EPP</t>
        </is>
      </c>
      <c r="B9" t="inlineStr">
        <is>
          <t>外压 ESF，左舷 [-]（5A-3-A1/3）</t>
        </is>
      </c>
      <c r="E9" s="13" t="n">
        <v>0.733</v>
      </c>
      <c r="F9" s="13" t="n">
        <v>0.733</v>
      </c>
      <c r="G9" s="13" t="n">
        <v>0.733</v>
      </c>
      <c r="H9" s="13" t="n">
        <v>0.733</v>
      </c>
      <c r="I9" s="13" t="n">
        <v>0.733</v>
      </c>
      <c r="J9" s="13" t="n">
        <v>0.733</v>
      </c>
      <c r="K9" s="13" t="n">
        <v>0.733</v>
      </c>
    </row>
    <row r="10">
      <c r="A10" t="inlineStr">
        <is>
          <t>k_esf</t>
        </is>
      </c>
      <c r="B10" t="inlineStr">
        <is>
          <t>项目对 ESF 的分项系数 [-]</t>
        </is>
      </c>
      <c r="E10" s="13" t="n">
        <v>1.1</v>
      </c>
      <c r="F10" s="13" t="n">
        <v>1.1</v>
      </c>
      <c r="G10" s="13" t="n">
        <v>1.1</v>
      </c>
      <c r="H10" s="13" t="n">
        <v>1.1</v>
      </c>
      <c r="I10" s="13" t="n">
        <v>1.1</v>
      </c>
      <c r="J10" s="13" t="n">
        <v>1.1</v>
      </c>
      <c r="K10" s="13" t="n">
        <v>1.1</v>
      </c>
    </row>
    <row r="11">
      <c r="A11" t="inlineStr">
        <is>
          <t>x_o</t>
        </is>
      </c>
      <c r="B11" t="inlineStr">
        <is>
          <t>参考站 [m]，自 AP 量起（Fig. 9 脚注）</t>
        </is>
      </c>
      <c r="D11" t="inlineStr">
        <is>
          <t xml:space="preserve"> m</t>
        </is>
      </c>
      <c r="E11" s="13" t="n">
        <v>51</v>
      </c>
      <c r="F11" s="13" t="n">
        <v>51</v>
      </c>
      <c r="G11" s="13" t="n">
        <v>51</v>
      </c>
      <c r="H11" s="13" t="n">
        <v>51</v>
      </c>
      <c r="I11" s="13" t="n">
        <v>51</v>
      </c>
      <c r="J11" s="13" t="n">
        <v>51</v>
      </c>
      <c r="K11" s="13" t="n">
        <v>51</v>
      </c>
    </row>
    <row r="12">
      <c r="A12" t="inlineStr">
        <is>
          <t>beta_VAC</t>
        </is>
      </c>
      <c r="B12" t="inlineStr">
        <is>
          <t>垂向加速度 ESF [-]（5A-3-A1/3）</t>
        </is>
      </c>
      <c r="E12" s="13" t="n">
        <v>0.66</v>
      </c>
      <c r="F12" s="13" t="n">
        <v>0.66</v>
      </c>
      <c r="G12" s="13" t="n">
        <v>0.66</v>
      </c>
      <c r="H12" s="13" t="n">
        <v>0.66</v>
      </c>
      <c r="I12" s="13" t="n">
        <v>0.66</v>
      </c>
      <c r="J12" s="13" t="n">
        <v>0.66</v>
      </c>
      <c r="K12" s="13" t="n">
        <v>0.66</v>
      </c>
    </row>
    <row r="13">
      <c r="A13" t="inlineStr">
        <is>
          <t>beta_LAC</t>
        </is>
      </c>
      <c r="B13" t="inlineStr">
        <is>
          <t>纵向加速度 ESF [-]</t>
        </is>
      </c>
      <c r="E13" s="13" t="n">
        <v>0.758</v>
      </c>
      <c r="F13" s="13" t="n">
        <v>0.758</v>
      </c>
      <c r="G13" s="13" t="n">
        <v>0.758</v>
      </c>
      <c r="H13" s="13" t="n">
        <v>0.758</v>
      </c>
      <c r="I13" s="13" t="n">
        <v>0.758</v>
      </c>
      <c r="J13" s="13" t="n">
        <v>0.758</v>
      </c>
      <c r="K13" s="13" t="n">
        <v>0.758</v>
      </c>
    </row>
    <row r="14">
      <c r="A14" t="inlineStr">
        <is>
          <t>beta_TAC</t>
        </is>
      </c>
      <c r="B14" t="inlineStr">
        <is>
          <t>横向加速度 ESF [-]</t>
        </is>
      </c>
      <c r="E14" s="13" t="n">
        <v>0.5570000000000001</v>
      </c>
      <c r="F14" s="13" t="n">
        <v>0.5570000000000001</v>
      </c>
      <c r="G14" s="13" t="n">
        <v>0.5570000000000001</v>
      </c>
      <c r="H14" s="13" t="n">
        <v>0.5570000000000001</v>
      </c>
      <c r="I14" s="13" t="n">
        <v>0.5570000000000001</v>
      </c>
      <c r="J14" s="13" t="n">
        <v>0.5570000000000001</v>
      </c>
      <c r="K14" s="13" t="n">
        <v>0.5570000000000001</v>
      </c>
    </row>
    <row r="15">
      <c r="A15" t="inlineStr">
        <is>
          <t>beta_PMO</t>
        </is>
      </c>
      <c r="B15" t="inlineStr">
        <is>
          <t>纵摇 ESF [-]</t>
        </is>
      </c>
      <c r="E15" s="13" t="n">
        <v>0.6860000000000001</v>
      </c>
      <c r="F15" s="13" t="n">
        <v>0.6860000000000001</v>
      </c>
      <c r="G15" s="13" t="n">
        <v>0.6860000000000001</v>
      </c>
      <c r="H15" s="13" t="n">
        <v>0.6860000000000001</v>
      </c>
      <c r="I15" s="13" t="n">
        <v>0.6860000000000001</v>
      </c>
      <c r="J15" s="13" t="n">
        <v>0.6860000000000001</v>
      </c>
      <c r="K15" s="13" t="n">
        <v>0.6860000000000001</v>
      </c>
    </row>
    <row r="16">
      <c r="A16" t="inlineStr">
        <is>
          <t>beta_RMO</t>
        </is>
      </c>
      <c r="B16" t="inlineStr">
        <is>
          <t>横摇 ESF [-]</t>
        </is>
      </c>
      <c r="E16" s="13" t="n">
        <v>0.492</v>
      </c>
      <c r="F16" s="13" t="n">
        <v>0.492</v>
      </c>
      <c r="G16" s="13" t="n">
        <v>0.492</v>
      </c>
      <c r="H16" s="13" t="n">
        <v>0.492</v>
      </c>
      <c r="I16" s="13" t="n">
        <v>0.492</v>
      </c>
      <c r="J16" s="13" t="n">
        <v>0.492</v>
      </c>
      <c r="K16" s="13" t="n">
        <v>0.492</v>
      </c>
    </row>
    <row r="17">
      <c r="A17" t="inlineStr">
        <is>
          <t>w_v</t>
        </is>
      </c>
      <c r="B17" t="inlineStr">
        <is>
          <t>垂向加速度权重 [-]（Table 1A B）</t>
        </is>
      </c>
      <c r="E17" s="13" t="n">
        <v>0.75</v>
      </c>
      <c r="F17" s="13" t="n">
        <v>0.75</v>
      </c>
      <c r="G17" s="13" t="n">
        <v>0.75</v>
      </c>
      <c r="H17" s="13" t="n">
        <v>0.75</v>
      </c>
      <c r="I17" s="13" t="n">
        <v>0.75</v>
      </c>
      <c r="J17" s="13" t="n">
        <v>0.75</v>
      </c>
      <c r="K17" s="13" t="n">
        <v>0.75</v>
      </c>
    </row>
    <row r="18">
      <c r="A18" t="inlineStr">
        <is>
          <t>w_l</t>
        </is>
      </c>
      <c r="B18" t="inlineStr">
        <is>
          <t>纵向加速度权重 [-]</t>
        </is>
      </c>
      <c r="E18" s="13" t="n">
        <v>0.25</v>
      </c>
      <c r="F18" s="13" t="n">
        <v>0.25</v>
      </c>
      <c r="G18" s="13" t="n">
        <v>0.25</v>
      </c>
      <c r="H18" s="13" t="n">
        <v>0.25</v>
      </c>
      <c r="I18" s="13" t="n">
        <v>0.25</v>
      </c>
      <c r="J18" s="13" t="n">
        <v>0.25</v>
      </c>
      <c r="K18" s="13" t="n">
        <v>0.25</v>
      </c>
    </row>
    <row r="19">
      <c r="A19" t="inlineStr">
        <is>
          <t>w_t</t>
        </is>
      </c>
      <c r="B19" t="inlineStr">
        <is>
          <t>横向加速度权重 [-]</t>
        </is>
      </c>
      <c r="E19" s="13" t="n">
        <v>0.75</v>
      </c>
      <c r="F19" s="13" t="n">
        <v>0.75</v>
      </c>
      <c r="G19" s="13" t="n">
        <v>0.75</v>
      </c>
      <c r="H19" s="13" t="n">
        <v>0.75</v>
      </c>
      <c r="I19" s="13" t="n">
        <v>0.75</v>
      </c>
      <c r="J19" s="13" t="n">
        <v>0.75</v>
      </c>
      <c r="K19" s="13" t="n">
        <v>0.75</v>
      </c>
    </row>
    <row r="20">
      <c r="A20" t="inlineStr">
        <is>
          <t>xi</t>
        </is>
      </c>
      <c r="B20" t="inlineStr">
        <is>
          <t>舱长方向参考位置 [m]（5.7.2(b)）</t>
        </is>
      </c>
      <c r="D20" t="inlineStr">
        <is>
          <t xml:space="preserve"> m</t>
        </is>
      </c>
      <c r="E20" s="13" t="n">
        <v>21</v>
      </c>
      <c r="F20" s="13" t="n">
        <v>21</v>
      </c>
      <c r="G20" s="13" t="n">
        <v>21</v>
      </c>
      <c r="H20" s="13" t="n">
        <v>21</v>
      </c>
      <c r="I20" s="13" t="n">
        <v>21</v>
      </c>
      <c r="J20" s="13" t="n">
        <v>7.25</v>
      </c>
      <c r="K20" s="13" t="n">
        <v>21</v>
      </c>
    </row>
    <row r="21">
      <c r="A21" t="inlineStr">
        <is>
          <t>delta_b</t>
        </is>
      </c>
      <c r="B21" t="inlineStr">
        <is>
          <t>舱宽方向修正 [m]（5.7.2(b)）；无则填 0</t>
        </is>
      </c>
      <c r="D21" t="inlineStr">
        <is>
          <t xml:space="preserve"> m</t>
        </is>
      </c>
      <c r="E21" s="13" t="n">
        <v>0</v>
      </c>
      <c r="F21" s="13" t="n">
        <v>0</v>
      </c>
      <c r="G21" s="13" t="n">
        <v>0</v>
      </c>
      <c r="H21" s="13" t="n">
        <v>0</v>
      </c>
      <c r="I21" s="13" t="n">
        <v>0</v>
      </c>
      <c r="J21" s="13" t="n">
        <v>0</v>
      </c>
      <c r="K21" s="13" t="n">
        <v>0</v>
      </c>
    </row>
    <row r="22">
      <c r="A22" t="inlineStr">
        <is>
          <t>delta_h</t>
        </is>
      </c>
      <c r="B22" t="inlineStr">
        <is>
          <t>舱高方向修正 [m]（5.7.2(b)）；无则填 0</t>
        </is>
      </c>
      <c r="D22" t="inlineStr">
        <is>
          <t xml:space="preserve"> m</t>
        </is>
      </c>
      <c r="E22" s="13" t="n">
        <v>0</v>
      </c>
      <c r="F22" s="13" t="n">
        <v>0</v>
      </c>
      <c r="G22" s="13" t="n">
        <v>0</v>
      </c>
      <c r="H22" s="13" t="n">
        <v>0</v>
      </c>
      <c r="I22" s="13" t="n">
        <v>0</v>
      </c>
      <c r="J22" s="13" t="n">
        <v>0</v>
      </c>
      <c r="K22" s="13" t="n">
        <v>0</v>
      </c>
    </row>
    <row r="23">
      <c r="A23" t="inlineStr">
        <is>
          <t>tank_ref</t>
        </is>
      </c>
      <c r="B23" t="inlineStr">
        <is>
          <t>本 Case 用哪个舱（成员表的行名）</t>
        </is>
      </c>
      <c r="E23" s="13" t="inlineStr">
        <is>
          <t>WBT6</t>
        </is>
      </c>
      <c r="F23" s="13" t="inlineStr">
        <is>
          <t>WBT6</t>
        </is>
      </c>
      <c r="G23" s="13" t="inlineStr">
        <is>
          <t>WBT6</t>
        </is>
      </c>
      <c r="H23" s="13" t="inlineStr">
        <is>
          <t>WBT6</t>
        </is>
      </c>
      <c r="I23" s="13" t="inlineStr">
        <is>
          <t>WBT6</t>
        </is>
      </c>
      <c r="J23" s="13" t="inlineStr">
        <is>
          <t>WBT7</t>
        </is>
      </c>
      <c r="K23" s="13" t="inlineStr">
        <is>
          <t>COT1</t>
        </is>
      </c>
    </row>
  </sheetData>
  <dataValidations count="1">
    <dataValidation sqref="E23 F23 G23 H23 I23 J23 K23" showDropDown="0" showInputMessage="1" showErrorMessage="1" allowBlank="1" errorTitle="取值不合规" error="tank_ref：可选: WBT6 / WBT7 / COT1" promptTitle="tank_ref" prompt="可选: WBT6 / WBT7 / COT1" type="list">
      <formula1>"WBT6,WBT7,COT1"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4" customWidth="1" min="4" max="4"/>
    <col width="14" customWidth="1" min="5" max="5"/>
    <col width="16" customWidth="1" min="6" max="6"/>
    <col width="20" customWidth="1" min="7" max="7"/>
    <col width="14" customWidth="1" min="8" max="8"/>
    <col width="14" customWidth="1" min="9" max="9"/>
    <col width="14" customWidth="1" min="10" max="10"/>
    <col width="18" customWidth="1" min="11" max="11"/>
    <col width="14" customWidth="1" min="12" max="12"/>
    <col width="23" customWidth="1" min="13" max="13"/>
    <col width="20" customWidth="1" min="14" max="14"/>
  </cols>
  <sheetData>
    <row r="1">
      <c r="A1" s="7" t="inlineStr">
        <is>
          <t>成员</t>
        </is>
      </c>
      <c r="B1" s="7" t="inlineStr">
        <is>
          <t>rho_tank</t>
        </is>
      </c>
      <c r="C1" s="7" t="inlineStr">
        <is>
          <t>l_tank</t>
        </is>
      </c>
      <c r="D1" s="7" t="inlineStr">
        <is>
          <t>b_tank</t>
        </is>
      </c>
      <c r="E1" s="8" t="inlineStr">
        <is>
          <t>h_tank</t>
        </is>
      </c>
      <c r="F1" s="8" t="inlineStr">
        <is>
          <t>eta_deck</t>
        </is>
      </c>
      <c r="G1" s="8" t="inlineStr">
        <is>
          <t>eta_overflow</t>
        </is>
      </c>
      <c r="H1" s="8" t="inlineStr">
        <is>
          <t>C_dp</t>
        </is>
      </c>
      <c r="I1" s="8" t="inlineStr">
        <is>
          <t>C_ru</t>
        </is>
      </c>
      <c r="J1" s="8" t="inlineStr">
        <is>
          <t>p_vp</t>
        </is>
      </c>
      <c r="K1" s="8" t="inlineStr">
        <is>
          <t>GM_full_in</t>
        </is>
      </c>
      <c r="L1" s="8" t="inlineStr">
        <is>
          <t>k_r_in</t>
        </is>
      </c>
      <c r="M1" s="8" t="inlineStr">
        <is>
          <t>tank_is_ballast</t>
        </is>
      </c>
      <c r="N1" s="8" t="inlineStr">
        <is>
          <t>member_11_17</t>
        </is>
      </c>
    </row>
    <row r="2">
      <c r="A2" t="inlineStr">
        <is>
          <t>WBT6</t>
        </is>
      </c>
      <c r="B2" s="13" t="n">
        <v>1025</v>
      </c>
      <c r="C2" s="13" t="n">
        <v>42</v>
      </c>
      <c r="D2" s="13" t="n">
        <v>32</v>
      </c>
      <c r="E2" s="13" t="n">
        <v>32</v>
      </c>
      <c r="F2" s="13" t="n">
        <v>0</v>
      </c>
      <c r="G2" s="13" t="n">
        <v>0</v>
      </c>
      <c r="H2" s="13" t="n">
        <v>1</v>
      </c>
      <c r="I2" s="13" t="n">
        <v>1</v>
      </c>
      <c r="J2" s="13" t="n">
        <v>0</v>
      </c>
      <c r="K2" s="13" t="n">
        <v>0</v>
      </c>
      <c r="L2" s="13" t="n">
        <v>0</v>
      </c>
      <c r="M2" s="13" t="n">
        <v>1</v>
      </c>
      <c r="N2" s="13" t="n">
        <v>0</v>
      </c>
    </row>
    <row r="3">
      <c r="A3" t="inlineStr">
        <is>
          <t>WBT7</t>
        </is>
      </c>
      <c r="B3" s="13" t="n">
        <v>1025</v>
      </c>
      <c r="C3" s="13" t="n">
        <v>14.5</v>
      </c>
      <c r="D3" s="13" t="n">
        <v>10.15</v>
      </c>
      <c r="E3" s="13" t="n">
        <v>32</v>
      </c>
      <c r="F3" s="13" t="n">
        <v>0</v>
      </c>
      <c r="G3" s="13" t="n">
        <v>0</v>
      </c>
      <c r="H3" s="13" t="n">
        <v>1</v>
      </c>
      <c r="I3" s="13" t="n">
        <v>1</v>
      </c>
      <c r="J3" s="13" t="n">
        <v>0</v>
      </c>
      <c r="K3" s="13" t="n">
        <v>0</v>
      </c>
      <c r="L3" s="13" t="n">
        <v>0</v>
      </c>
      <c r="M3" s="13" t="n">
        <v>1</v>
      </c>
      <c r="N3" s="13" t="n">
        <v>0</v>
      </c>
    </row>
    <row r="4">
      <c r="A4" t="inlineStr">
        <is>
          <t>COT1</t>
        </is>
      </c>
      <c r="B4" s="13" t="n">
        <v>900</v>
      </c>
      <c r="C4" s="13" t="n">
        <v>42</v>
      </c>
      <c r="D4" s="13" t="n">
        <v>32</v>
      </c>
      <c r="E4" s="13" t="n">
        <v>32</v>
      </c>
      <c r="F4" s="13" t="n">
        <v>0</v>
      </c>
      <c r="G4" s="13" t="n">
        <v>0</v>
      </c>
      <c r="H4" s="13" t="n">
        <v>1</v>
      </c>
      <c r="I4" s="13" t="n">
        <v>1</v>
      </c>
      <c r="J4" s="13" t="n">
        <v>0.21</v>
      </c>
      <c r="K4" s="13" t="n">
        <v>0</v>
      </c>
      <c r="L4" s="13" t="n">
        <v>0</v>
      </c>
      <c r="M4" s="13" t="n">
        <v>0</v>
      </c>
      <c r="N4" s="13" t="n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D94"/>
  <sheetViews>
    <sheetView workbookViewId="0">
      <selection activeCell="A1" sqref="A1"/>
    </sheetView>
  </sheetViews>
  <sheetFormatPr baseColWidth="8" defaultRowHeight="15"/>
  <cols>
    <col width="160" customWidth="1" min="2" max="2"/>
    <col width="160" customWidth="1" min="3" max="3"/>
    <col width="160" customWidth="1" min="4" max="4"/>
  </cols>
  <sheetData>
    <row r="1">
      <c r="B1" s="19" t="inlineStr">
        <is>
          <t>EXT-T20.559-mu90-kf+1</t>
        </is>
      </c>
      <c r="C1" s="19" t="inlineStr">
        <is>
          <t>EXT-T15-mu0-kf-1</t>
        </is>
      </c>
      <c r="D1" s="19" t="inlineStr">
        <is>
          <t>EXT-T15-mu90-kf+1</t>
        </is>
      </c>
    </row>
    <row r="2">
      <c r="B2">
        <f>"// "&amp;'Local Parameter'!E$1</f>
        <v/>
      </c>
      <c r="C2">
        <f>"// "&amp;'Local Parameter'!F$1</f>
        <v/>
      </c>
      <c r="D2">
        <f>"// "&amp;'Local Parameter'!G$1</f>
        <v/>
      </c>
    </row>
    <row r="3">
      <c r="B3">
        <f>"// The rules live in the RULE frame: x from the A.P., y from the centre line"</f>
        <v/>
      </c>
      <c r="C3">
        <f>"// The rules live in the RULE frame: x from the A.P., y from the centre line"</f>
        <v/>
      </c>
      <c r="D3">
        <f>"// The rules live in the RULE frame: x from the A.P., y from the centre line"</f>
        <v/>
      </c>
    </row>
    <row r="4">
      <c r="B4">
        <f>"// positive starboard, z above the baseline.  The model usually is not, so the"</f>
        <v/>
      </c>
      <c r="C4">
        <f>"// positive starboard, z above the baseline.  The model usually is not, so the"</f>
        <v/>
      </c>
      <c r="D4">
        <f>"// positive starboard, z above the baseline.  The model usually is not, so the"</f>
        <v/>
      </c>
    </row>
    <row r="5">
      <c r="B5">
        <f>"// three mapping cells (ax_* / neg_*) convert it.  All three coordinates go"</f>
        <v/>
      </c>
      <c r="C5">
        <f>"// three mapping cells (ax_* / neg_*) convert it.  All three coordinates go"</f>
        <v/>
      </c>
      <c r="D5">
        <f>"// three mapping cells (ax_* / neg_*) convert it.  All three coordinates go"</f>
        <v/>
      </c>
    </row>
    <row r="6">
      <c r="B6">
        <f>"// through temporaries first: assigning them in place would read a coordinate"</f>
        <v/>
      </c>
      <c r="C6">
        <f>"// through temporaries first: assigning them in place would read a coordinate"</f>
        <v/>
      </c>
      <c r="D6">
        <f>"// through temporaries first: assigning them in place would read a coordinate"</f>
        <v/>
      </c>
    </row>
    <row r="7">
      <c r="B7">
        <f>"// that has already been overwritten."</f>
        <v/>
      </c>
      <c r="C7">
        <f>"// that has already been overwritten."</f>
        <v/>
      </c>
      <c r="D7">
        <f>"// that has already been overwritten."</f>
        <v/>
      </c>
    </row>
    <row r="8">
      <c r="B8">
        <f>"var t1 = x;"</f>
        <v/>
      </c>
      <c r="C8">
        <f>"var t1 = x;"</f>
        <v/>
      </c>
      <c r="D8">
        <f>"var t1 = x;"</f>
        <v/>
      </c>
    </row>
    <row r="9">
      <c r="B9">
        <f>"var t2 = y;"</f>
        <v/>
      </c>
      <c r="C9">
        <f>"var t2 = y;"</f>
        <v/>
      </c>
      <c r="D9">
        <f>"var t2 = y;"</f>
        <v/>
      </c>
    </row>
    <row r="10">
      <c r="B10">
        <f>"var t3 = z;"</f>
        <v/>
      </c>
      <c r="C10">
        <f>"var t3 = z;"</f>
        <v/>
      </c>
      <c r="D10">
        <f>"var t3 = z;"</f>
        <v/>
      </c>
    </row>
    <row r="11">
      <c r="B11">
        <f>"x = "&amp;IF(ISBLANK(INDEX('Global Parameter'!$D:$D,MATCH("neg_x",'Global Parameter'!$A:$A,0))),"",INDEX('Global Parameter'!$D:$D,MATCH("neg_x",'Global Parameter'!$A:$A,0)))&amp;IF(ISBLANK(INDEX('Global Parameter'!$B:$B,MATCH("neg_x",'Global Parameter'!$A:$A,0))),"",INDEX('Global Parameter'!$B:$B,MATCH("neg_x",'Global Parameter'!$A:$A,0)))&amp;IF(ISBLANK(INDEX('Global Parameter'!$E:$E,MATCH("neg_x",'Global Parameter'!$A:$A,0))),"",INDEX('Global Parameter'!$E:$E,MATCH("neg_x",'Global Parameter'!$A:$A,0)))&amp;"t"&amp;IF(ISBLANK(INDEX('Global Parameter'!$D:$D,MATCH("ax_x",'Global Parameter'!$A:$A,0))),"",INDEX('Global Parameter'!$D:$D,MATCH("ax_x",'Global Parameter'!$A:$A,0)))&amp;IF(ISBLANK(INDEX('Global Parameter'!$B:$B,MATCH("ax_x",'Global Parameter'!$A:$A,0))),"1",IF(INDEX('Global Parameter'!$B:$B,MATCH("ax_x",'Global Parameter'!$A:$A,0))="","1",INDEX('Global Parameter'!$B:$B,MATCH("ax_x",'Global Parameter'!$A:$A,0))))&amp;IF(ISBLANK(INDEX('Global Parameter'!$E:$E,MATCH("ax_x",'Global Parameter'!$A:$A,0))),"",INDEX('Global Parameter'!$E:$E,MATCH("ax_x",'Global Parameter'!$A:$A,0)))&amp;";"</f>
        <v/>
      </c>
      <c r="C11">
        <f>"x = "&amp;IF(ISBLANK(INDEX('Global Parameter'!$D:$D,MATCH("neg_x",'Global Parameter'!$A:$A,0))),"",INDEX('Global Parameter'!$D:$D,MATCH("neg_x",'Global Parameter'!$A:$A,0)))&amp;IF(ISBLANK(INDEX('Global Parameter'!$B:$B,MATCH("neg_x",'Global Parameter'!$A:$A,0))),"",INDEX('Global Parameter'!$B:$B,MATCH("neg_x",'Global Parameter'!$A:$A,0)))&amp;IF(ISBLANK(INDEX('Global Parameter'!$E:$E,MATCH("neg_x",'Global Parameter'!$A:$A,0))),"",INDEX('Global Parameter'!$E:$E,MATCH("neg_x",'Global Parameter'!$A:$A,0)))&amp;"t"&amp;IF(ISBLANK(INDEX('Global Parameter'!$D:$D,MATCH("ax_x",'Global Parameter'!$A:$A,0))),"",INDEX('Global Parameter'!$D:$D,MATCH("ax_x",'Global Parameter'!$A:$A,0)))&amp;IF(ISBLANK(INDEX('Global Parameter'!$B:$B,MATCH("ax_x",'Global Parameter'!$A:$A,0))),"1",IF(INDEX('Global Parameter'!$B:$B,MATCH("ax_x",'Global Parameter'!$A:$A,0))="","1",INDEX('Global Parameter'!$B:$B,MATCH("ax_x",'Global Parameter'!$A:$A,0))))&amp;IF(ISBLANK(INDEX('Global Parameter'!$E:$E,MATCH("ax_x",'Global Parameter'!$A:$A,0))),"",INDEX('Global Parameter'!$E:$E,MATCH("ax_x",'Global Parameter'!$A:$A,0)))&amp;";"</f>
        <v/>
      </c>
      <c r="D11">
        <f>"x = "&amp;IF(ISBLANK(INDEX('Global Parameter'!$D:$D,MATCH("neg_x",'Global Parameter'!$A:$A,0))),"",INDEX('Global Parameter'!$D:$D,MATCH("neg_x",'Global Parameter'!$A:$A,0)))&amp;IF(ISBLANK(INDEX('Global Parameter'!$B:$B,MATCH("neg_x",'Global Parameter'!$A:$A,0))),"",INDEX('Global Parameter'!$B:$B,MATCH("neg_x",'Global Parameter'!$A:$A,0)))&amp;IF(ISBLANK(INDEX('Global Parameter'!$E:$E,MATCH("neg_x",'Global Parameter'!$A:$A,0))),"",INDEX('Global Parameter'!$E:$E,MATCH("neg_x",'Global Parameter'!$A:$A,0)))&amp;"t"&amp;IF(ISBLANK(INDEX('Global Parameter'!$D:$D,MATCH("ax_x",'Global Parameter'!$A:$A,0))),"",INDEX('Global Parameter'!$D:$D,MATCH("ax_x",'Global Parameter'!$A:$A,0)))&amp;IF(ISBLANK(INDEX('Global Parameter'!$B:$B,MATCH("ax_x",'Global Parameter'!$A:$A,0))),"1",IF(INDEX('Global Parameter'!$B:$B,MATCH("ax_x",'Global Parameter'!$A:$A,0))="","1",INDEX('Global Parameter'!$B:$B,MATCH("ax_x",'Global Parameter'!$A:$A,0))))&amp;IF(ISBLANK(INDEX('Global Parameter'!$E:$E,MATCH("ax_x",'Global Parameter'!$A:$A,0))),"",INDEX('Global Parameter'!$E:$E,MATCH("ax_x",'Global Parameter'!$A:$A,0)))&amp;";"</f>
        <v/>
      </c>
    </row>
    <row r="12">
      <c r="B12">
        <f>"y = "&amp;IF(ISBLANK(INDEX('Global Parameter'!$D:$D,MATCH("neg_y",'Global Parameter'!$A:$A,0))),"",INDEX('Global Parameter'!$D:$D,MATCH("neg_y",'Global Parameter'!$A:$A,0)))&amp;IF(ISBLANK(INDEX('Global Parameter'!$B:$B,MATCH("neg_y",'Global Parameter'!$A:$A,0))),"",INDEX('Global Parameter'!$B:$B,MATCH("neg_y",'Global Parameter'!$A:$A,0)))&amp;IF(ISBLANK(INDEX('Global Parameter'!$E:$E,MATCH("neg_y",'Global Parameter'!$A:$A,0))),"",INDEX('Global Parameter'!$E:$E,MATCH("neg_y",'Global Parameter'!$A:$A,0)))&amp;"t"&amp;IF(ISBLANK(INDEX('Global Parameter'!$D:$D,MATCH("ax_y",'Global Parameter'!$A:$A,0))),"",INDEX('Global Parameter'!$D:$D,MATCH("ax_y",'Global Parameter'!$A:$A,0)))&amp;IF(ISBLANK(INDEX('Global Parameter'!$B:$B,MATCH("ax_y",'Global Parameter'!$A:$A,0))),"2",IF(INDEX('Global Parameter'!$B:$B,MATCH("ax_y",'Global Parameter'!$A:$A,0))="","2",INDEX('Global Parameter'!$B:$B,MATCH("ax_y",'Global Parameter'!$A:$A,0))))&amp;IF(ISBLANK(INDEX('Global Parameter'!$E:$E,MATCH("ax_y",'Global Parameter'!$A:$A,0))),"",INDEX('Global Parameter'!$E:$E,MATCH("ax_y",'Global Parameter'!$A:$A,0)))&amp;";"</f>
        <v/>
      </c>
      <c r="C12">
        <f>"y = "&amp;IF(ISBLANK(INDEX('Global Parameter'!$D:$D,MATCH("neg_y",'Global Parameter'!$A:$A,0))),"",INDEX('Global Parameter'!$D:$D,MATCH("neg_y",'Global Parameter'!$A:$A,0)))&amp;IF(ISBLANK(INDEX('Global Parameter'!$B:$B,MATCH("neg_y",'Global Parameter'!$A:$A,0))),"",INDEX('Global Parameter'!$B:$B,MATCH("neg_y",'Global Parameter'!$A:$A,0)))&amp;IF(ISBLANK(INDEX('Global Parameter'!$E:$E,MATCH("neg_y",'Global Parameter'!$A:$A,0))),"",INDEX('Global Parameter'!$E:$E,MATCH("neg_y",'Global Parameter'!$A:$A,0)))&amp;"t"&amp;IF(ISBLANK(INDEX('Global Parameter'!$D:$D,MATCH("ax_y",'Global Parameter'!$A:$A,0))),"",INDEX('Global Parameter'!$D:$D,MATCH("ax_y",'Global Parameter'!$A:$A,0)))&amp;IF(ISBLANK(INDEX('Global Parameter'!$B:$B,MATCH("ax_y",'Global Parameter'!$A:$A,0))),"2",IF(INDEX('Global Parameter'!$B:$B,MATCH("ax_y",'Global Parameter'!$A:$A,0))="","2",INDEX('Global Parameter'!$B:$B,MATCH("ax_y",'Global Parameter'!$A:$A,0))))&amp;IF(ISBLANK(INDEX('Global Parameter'!$E:$E,MATCH("ax_y",'Global Parameter'!$A:$A,0))),"",INDEX('Global Parameter'!$E:$E,MATCH("ax_y",'Global Parameter'!$A:$A,0)))&amp;";"</f>
        <v/>
      </c>
      <c r="D12">
        <f>"y = "&amp;IF(ISBLANK(INDEX('Global Parameter'!$D:$D,MATCH("neg_y",'Global Parameter'!$A:$A,0))),"",INDEX('Global Parameter'!$D:$D,MATCH("neg_y",'Global Parameter'!$A:$A,0)))&amp;IF(ISBLANK(INDEX('Global Parameter'!$B:$B,MATCH("neg_y",'Global Parameter'!$A:$A,0))),"",INDEX('Global Parameter'!$B:$B,MATCH("neg_y",'Global Parameter'!$A:$A,0)))&amp;IF(ISBLANK(INDEX('Global Parameter'!$E:$E,MATCH("neg_y",'Global Parameter'!$A:$A,0))),"",INDEX('Global Parameter'!$E:$E,MATCH("neg_y",'Global Parameter'!$A:$A,0)))&amp;"t"&amp;IF(ISBLANK(INDEX('Global Parameter'!$D:$D,MATCH("ax_y",'Global Parameter'!$A:$A,0))),"",INDEX('Global Parameter'!$D:$D,MATCH("ax_y",'Global Parameter'!$A:$A,0)))&amp;IF(ISBLANK(INDEX('Global Parameter'!$B:$B,MATCH("ax_y",'Global Parameter'!$A:$A,0))),"2",IF(INDEX('Global Parameter'!$B:$B,MATCH("ax_y",'Global Parameter'!$A:$A,0))="","2",INDEX('Global Parameter'!$B:$B,MATCH("ax_y",'Global Parameter'!$A:$A,0))))&amp;IF(ISBLANK(INDEX('Global Parameter'!$E:$E,MATCH("ax_y",'Global Parameter'!$A:$A,0))),"",INDEX('Global Parameter'!$E:$E,MATCH("ax_y",'Global Parameter'!$A:$A,0)))&amp;";"</f>
        <v/>
      </c>
    </row>
    <row r="13">
      <c r="B13">
        <f>"z = "&amp;IF(ISBLANK(INDEX('Global Parameter'!$D:$D,MATCH("neg_z",'Global Parameter'!$A:$A,0))),"",INDEX('Global Parameter'!$D:$D,MATCH("neg_z",'Global Parameter'!$A:$A,0)))&amp;IF(ISBLANK(INDEX('Global Parameter'!$B:$B,MATCH("neg_z",'Global Parameter'!$A:$A,0))),"",INDEX('Global Parameter'!$B:$B,MATCH("neg_z",'Global Parameter'!$A:$A,0)))&amp;IF(ISBLANK(INDEX('Global Parameter'!$E:$E,MATCH("neg_z",'Global Parameter'!$A:$A,0))),"",INDEX('Global Parameter'!$E:$E,MATCH("neg_z",'Global Parameter'!$A:$A,0)))&amp;"t"&amp;IF(ISBLANK(INDEX('Global Parameter'!$D:$D,MATCH("ax_z",'Global Parameter'!$A:$A,0))),"",INDEX('Global Parameter'!$D:$D,MATCH("ax_z",'Global Parameter'!$A:$A,0)))&amp;IF(ISBLANK(INDEX('Global Parameter'!$B:$B,MATCH("ax_z",'Global Parameter'!$A:$A,0))),"3",IF(INDEX('Global Parameter'!$B:$B,MATCH("ax_z",'Global Parameter'!$A:$A,0))="","3",INDEX('Global Parameter'!$B:$B,MATCH("ax_z",'Global Parameter'!$A:$A,0))))&amp;IF(ISBLANK(INDEX('Global Parameter'!$E:$E,MATCH("ax_z",'Global Parameter'!$A:$A,0))),"",INDEX('Global Parameter'!$E:$E,MATCH("ax_z",'Global Parameter'!$A:$A,0)))&amp;";"</f>
        <v/>
      </c>
      <c r="C13">
        <f>"z = "&amp;IF(ISBLANK(INDEX('Global Parameter'!$D:$D,MATCH("neg_z",'Global Parameter'!$A:$A,0))),"",INDEX('Global Parameter'!$D:$D,MATCH("neg_z",'Global Parameter'!$A:$A,0)))&amp;IF(ISBLANK(INDEX('Global Parameter'!$B:$B,MATCH("neg_z",'Global Parameter'!$A:$A,0))),"",INDEX('Global Parameter'!$B:$B,MATCH("neg_z",'Global Parameter'!$A:$A,0)))&amp;IF(ISBLANK(INDEX('Global Parameter'!$E:$E,MATCH("neg_z",'Global Parameter'!$A:$A,0))),"",INDEX('Global Parameter'!$E:$E,MATCH("neg_z",'Global Parameter'!$A:$A,0)))&amp;"t"&amp;IF(ISBLANK(INDEX('Global Parameter'!$D:$D,MATCH("ax_z",'Global Parameter'!$A:$A,0))),"",INDEX('Global Parameter'!$D:$D,MATCH("ax_z",'Global Parameter'!$A:$A,0)))&amp;IF(ISBLANK(INDEX('Global Parameter'!$B:$B,MATCH("ax_z",'Global Parameter'!$A:$A,0))),"3",IF(INDEX('Global Parameter'!$B:$B,MATCH("ax_z",'Global Parameter'!$A:$A,0))="","3",INDEX('Global Parameter'!$B:$B,MATCH("ax_z",'Global Parameter'!$A:$A,0))))&amp;IF(ISBLANK(INDEX('Global Parameter'!$E:$E,MATCH("ax_z",'Global Parameter'!$A:$A,0))),"",INDEX('Global Parameter'!$E:$E,MATCH("ax_z",'Global Parameter'!$A:$A,0)))&amp;";"</f>
        <v/>
      </c>
      <c r="D13">
        <f>"z = "&amp;IF(ISBLANK(INDEX('Global Parameter'!$D:$D,MATCH("neg_z",'Global Parameter'!$A:$A,0))),"",INDEX('Global Parameter'!$D:$D,MATCH("neg_z",'Global Parameter'!$A:$A,0)))&amp;IF(ISBLANK(INDEX('Global Parameter'!$B:$B,MATCH("neg_z",'Global Parameter'!$A:$A,0))),"",INDEX('Global Parameter'!$B:$B,MATCH("neg_z",'Global Parameter'!$A:$A,0)))&amp;IF(ISBLANK(INDEX('Global Parameter'!$E:$E,MATCH("neg_z",'Global Parameter'!$A:$A,0))),"",INDEX('Global Parameter'!$E:$E,MATCH("neg_z",'Global Parameter'!$A:$A,0)))&amp;"t"&amp;IF(ISBLANK(INDEX('Global Parameter'!$D:$D,MATCH("ax_z",'Global Parameter'!$A:$A,0))),"",INDEX('Global Parameter'!$D:$D,MATCH("ax_z",'Global Parameter'!$A:$A,0)))&amp;IF(ISBLANK(INDEX('Global Parameter'!$B:$B,MATCH("ax_z",'Global Parameter'!$A:$A,0))),"3",IF(INDEX('Global Parameter'!$B:$B,MATCH("ax_z",'Global Parameter'!$A:$A,0))="","3",INDEX('Global Parameter'!$B:$B,MATCH("ax_z",'Global Parameter'!$A:$A,0))))&amp;IF(ISBLANK(INDEX('Global Parameter'!$E:$E,MATCH("ax_z",'Global Parameter'!$A:$A,0))),"",INDEX('Global Parameter'!$E:$E,MATCH("ax_z",'Global Parameter'!$A:$A,0)))&amp;";"</f>
        <v/>
      </c>
    </row>
    <row r="14">
      <c r="B14">
        <f>"// --- global parameters (same for every case)"</f>
        <v/>
      </c>
      <c r="C14">
        <f>"// --- global parameters (same for every case)"</f>
        <v/>
      </c>
      <c r="D14">
        <f>"// --- global parameters (same for every case)"</f>
        <v/>
      </c>
    </row>
    <row r="15">
      <c r="B15">
        <f>"var L = "&amp;IF(ISBLANK(INDEX('Global Parameter'!$D:$D,MATCH("L",'Global Parameter'!$A:$A,0))),"",INDEX('Global Parameter'!$D:$D,MATCH("L",'Global Parameter'!$A:$A,0)))&amp;IF(ISBLANK(INDEX('Global Parameter'!$B:$B,MATCH("L",'Global Parameter'!$A:$A,0))),340,IF(INDEX('Global Parameter'!$B:$B,MATCH("L",'Global Parameter'!$A:$A,0))="",340,INDEX('Global Parameter'!$B:$B,MATCH("L",'Global Parameter'!$A:$A,0))))&amp;IF(ISBLANK(INDEX('Global Parameter'!$E:$E,MATCH("L",'Global Parameter'!$A:$A,0)))," m",IF(INDEX('Global Parameter'!$E:$E,MATCH("L",'Global Parameter'!$A:$A,0))=""," m",INDEX('Global Parameter'!$E:$E,MATCH("L",'Global Parameter'!$A:$A,0))))&amp;";"</f>
        <v/>
      </c>
      <c r="C15">
        <f>"var L = "&amp;IF(ISBLANK(INDEX('Global Parameter'!$D:$D,MATCH("L",'Global Parameter'!$A:$A,0))),"",INDEX('Global Parameter'!$D:$D,MATCH("L",'Global Parameter'!$A:$A,0)))&amp;IF(ISBLANK(INDEX('Global Parameter'!$B:$B,MATCH("L",'Global Parameter'!$A:$A,0))),340,IF(INDEX('Global Parameter'!$B:$B,MATCH("L",'Global Parameter'!$A:$A,0))="",340,INDEX('Global Parameter'!$B:$B,MATCH("L",'Global Parameter'!$A:$A,0))))&amp;IF(ISBLANK(INDEX('Global Parameter'!$E:$E,MATCH("L",'Global Parameter'!$A:$A,0)))," m",IF(INDEX('Global Parameter'!$E:$E,MATCH("L",'Global Parameter'!$A:$A,0))=""," m",INDEX('Global Parameter'!$E:$E,MATCH("L",'Global Parameter'!$A:$A,0))))&amp;";"</f>
        <v/>
      </c>
      <c r="D15">
        <f>"var L = "&amp;IF(ISBLANK(INDEX('Global Parameter'!$D:$D,MATCH("L",'Global Parameter'!$A:$A,0))),"",INDEX('Global Parameter'!$D:$D,MATCH("L",'Global Parameter'!$A:$A,0)))&amp;IF(ISBLANK(INDEX('Global Parameter'!$B:$B,MATCH("L",'Global Parameter'!$A:$A,0))),340,IF(INDEX('Global Parameter'!$B:$B,MATCH("L",'Global Parameter'!$A:$A,0))="",340,INDEX('Global Parameter'!$B:$B,MATCH("L",'Global Parameter'!$A:$A,0))))&amp;IF(ISBLANK(INDEX('Global Parameter'!$E:$E,MATCH("L",'Global Parameter'!$A:$A,0)))," m",IF(INDEX('Global Parameter'!$E:$E,MATCH("L",'Global Parameter'!$A:$A,0))=""," m",INDEX('Global Parameter'!$E:$E,MATCH("L",'Global Parameter'!$A:$A,0))))&amp;";"</f>
        <v/>
      </c>
    </row>
    <row r="16">
      <c r="B16">
        <f>"var B = "&amp;IF(ISBLANK(INDEX('Global Parameter'!$D:$D,MATCH("B",'Global Parameter'!$A:$A,0))),"",INDEX('Global Parameter'!$D:$D,MATCH("B",'Global Parameter'!$A:$A,0)))&amp;IF(ISBLANK(INDEX('Global Parameter'!$B:$B,MATCH("B",'Global Parameter'!$A:$A,0))),64,IF(INDEX('Global Parameter'!$B:$B,MATCH("B",'Global Parameter'!$A:$A,0))="",64,INDEX('Global Parameter'!$B:$B,MATCH("B",'Global Parameter'!$A:$A,0))))&amp;IF(ISBLANK(INDEX('Global Parameter'!$E:$E,MATCH("B",'Global Parameter'!$A:$A,0)))," m",IF(INDEX('Global Parameter'!$E:$E,MATCH("B",'Global Parameter'!$A:$A,0))=""," m",INDEX('Global Parameter'!$E:$E,MATCH("B",'Global Parameter'!$A:$A,0))))&amp;";"</f>
        <v/>
      </c>
      <c r="C16">
        <f>"var B = "&amp;IF(ISBLANK(INDEX('Global Parameter'!$D:$D,MATCH("B",'Global Parameter'!$A:$A,0))),"",INDEX('Global Parameter'!$D:$D,MATCH("B",'Global Parameter'!$A:$A,0)))&amp;IF(ISBLANK(INDEX('Global Parameter'!$B:$B,MATCH("B",'Global Parameter'!$A:$A,0))),64,IF(INDEX('Global Parameter'!$B:$B,MATCH("B",'Global Parameter'!$A:$A,0))="",64,INDEX('Global Parameter'!$B:$B,MATCH("B",'Global Parameter'!$A:$A,0))))&amp;IF(ISBLANK(INDEX('Global Parameter'!$E:$E,MATCH("B",'Global Parameter'!$A:$A,0)))," m",IF(INDEX('Global Parameter'!$E:$E,MATCH("B",'Global Parameter'!$A:$A,0))=""," m",INDEX('Global Parameter'!$E:$E,MATCH("B",'Global Parameter'!$A:$A,0))))&amp;";"</f>
        <v/>
      </c>
      <c r="D16">
        <f>"var B = "&amp;IF(ISBLANK(INDEX('Global Parameter'!$D:$D,MATCH("B",'Global Parameter'!$A:$A,0))),"",INDEX('Global Parameter'!$D:$D,MATCH("B",'Global Parameter'!$A:$A,0)))&amp;IF(ISBLANK(INDEX('Global Parameter'!$B:$B,MATCH("B",'Global Parameter'!$A:$A,0))),64,IF(INDEX('Global Parameter'!$B:$B,MATCH("B",'Global Parameter'!$A:$A,0))="",64,INDEX('Global Parameter'!$B:$B,MATCH("B",'Global Parameter'!$A:$A,0))))&amp;IF(ISBLANK(INDEX('Global Parameter'!$E:$E,MATCH("B",'Global Parameter'!$A:$A,0)))," m",IF(INDEX('Global Parameter'!$E:$E,MATCH("B",'Global Parameter'!$A:$A,0))=""," m",INDEX('Global Parameter'!$E:$E,MATCH("B",'Global Parameter'!$A:$A,0))))&amp;";"</f>
        <v/>
      </c>
    </row>
    <row r="17">
      <c r="B17">
        <f>"var D = "&amp;IF(ISBLANK(INDEX('Global Parameter'!$D:$D,MATCH("D",'Global Parameter'!$A:$A,0))),"",INDEX('Global Parameter'!$D:$D,MATCH("D",'Global Parameter'!$A:$A,0)))&amp;IF(ISBLANK(INDEX('Global Parameter'!$B:$B,MATCH("D",'Global Parameter'!$A:$A,0))),32,IF(INDEX('Global Parameter'!$B:$B,MATCH("D",'Global Parameter'!$A:$A,0))="",32,INDEX('Global Parameter'!$B:$B,MATCH("D",'Global Parameter'!$A:$A,0))))&amp;IF(ISBLANK(INDEX('Global Parameter'!$E:$E,MATCH("D",'Global Parameter'!$A:$A,0)))," m",IF(INDEX('Global Parameter'!$E:$E,MATCH("D",'Global Parameter'!$A:$A,0))=""," m",INDEX('Global Parameter'!$E:$E,MATCH("D",'Global Parameter'!$A:$A,0))))&amp;";"</f>
        <v/>
      </c>
      <c r="C17">
        <f>"var D = "&amp;IF(ISBLANK(INDEX('Global Parameter'!$D:$D,MATCH("D",'Global Parameter'!$A:$A,0))),"",INDEX('Global Parameter'!$D:$D,MATCH("D",'Global Parameter'!$A:$A,0)))&amp;IF(ISBLANK(INDEX('Global Parameter'!$B:$B,MATCH("D",'Global Parameter'!$A:$A,0))),32,IF(INDEX('Global Parameter'!$B:$B,MATCH("D",'Global Parameter'!$A:$A,0))="",32,INDEX('Global Parameter'!$B:$B,MATCH("D",'Global Parameter'!$A:$A,0))))&amp;IF(ISBLANK(INDEX('Global Parameter'!$E:$E,MATCH("D",'Global Parameter'!$A:$A,0)))," m",IF(INDEX('Global Parameter'!$E:$E,MATCH("D",'Global Parameter'!$A:$A,0))=""," m",INDEX('Global Parameter'!$E:$E,MATCH("D",'Global Parameter'!$A:$A,0))))&amp;";"</f>
        <v/>
      </c>
      <c r="D17">
        <f>"var D = "&amp;IF(ISBLANK(INDEX('Global Parameter'!$D:$D,MATCH("D",'Global Parameter'!$A:$A,0))),"",INDEX('Global Parameter'!$D:$D,MATCH("D",'Global Parameter'!$A:$A,0)))&amp;IF(ISBLANK(INDEX('Global Parameter'!$B:$B,MATCH("D",'Global Parameter'!$A:$A,0))),32,IF(INDEX('Global Parameter'!$B:$B,MATCH("D",'Global Parameter'!$A:$A,0))="",32,INDEX('Global Parameter'!$B:$B,MATCH("D",'Global Parameter'!$A:$A,0))))&amp;IF(ISBLANK(INDEX('Global Parameter'!$E:$E,MATCH("D",'Global Parameter'!$A:$A,0)))," m",IF(INDEX('Global Parameter'!$E:$E,MATCH("D",'Global Parameter'!$A:$A,0))=""," m",INDEX('Global Parameter'!$E:$E,MATCH("D",'Global Parameter'!$A:$A,0))))&amp;";"</f>
        <v/>
      </c>
    </row>
    <row r="18">
      <c r="B18">
        <f>"var r_b = "&amp;IF(ISBLANK(INDEX('Global Parameter'!$D:$D,MATCH("r_b",'Global Parameter'!$A:$A,0))),"",INDEX('Global Parameter'!$D:$D,MATCH("r_b",'Global Parameter'!$A:$A,0)))&amp;IF(ISBLANK(INDEX('Global Parameter'!$B:$B,MATCH("r_b",'Global Parameter'!$A:$A,0))),0.703,IF(INDEX('Global Parameter'!$B:$B,MATCH("r_b",'Global Parameter'!$A:$A,0))="",0.703,INDEX('Global Parameter'!$B:$B,MATCH("r_b",'Global Parameter'!$A:$A,0))))&amp;IF(ISBLANK(INDEX('Global Parameter'!$E:$E,MATCH("r_b",'Global Parameter'!$A:$A,0)))," m",IF(INDEX('Global Parameter'!$E:$E,MATCH("r_b",'Global Parameter'!$A:$A,0))=""," m",INDEX('Global Parameter'!$E:$E,MATCH("r_b",'Global Parameter'!$A:$A,0))))&amp;";"</f>
        <v/>
      </c>
      <c r="C18">
        <f>"var r_b = "&amp;IF(ISBLANK(INDEX('Global Parameter'!$D:$D,MATCH("r_b",'Global Parameter'!$A:$A,0))),"",INDEX('Global Parameter'!$D:$D,MATCH("r_b",'Global Parameter'!$A:$A,0)))&amp;IF(ISBLANK(INDEX('Global Parameter'!$B:$B,MATCH("r_b",'Global Parameter'!$A:$A,0))),0.703,IF(INDEX('Global Parameter'!$B:$B,MATCH("r_b",'Global Parameter'!$A:$A,0))="",0.703,INDEX('Global Parameter'!$B:$B,MATCH("r_b",'Global Parameter'!$A:$A,0))))&amp;IF(ISBLANK(INDEX('Global Parameter'!$E:$E,MATCH("r_b",'Global Parameter'!$A:$A,0)))," m",IF(INDEX('Global Parameter'!$E:$E,MATCH("r_b",'Global Parameter'!$A:$A,0))=""," m",INDEX('Global Parameter'!$E:$E,MATCH("r_b",'Global Parameter'!$A:$A,0))))&amp;";"</f>
        <v/>
      </c>
      <c r="D18">
        <f>"var r_b = "&amp;IF(ISBLANK(INDEX('Global Parameter'!$D:$D,MATCH("r_b",'Global Parameter'!$A:$A,0))),"",INDEX('Global Parameter'!$D:$D,MATCH("r_b",'Global Parameter'!$A:$A,0)))&amp;IF(ISBLANK(INDEX('Global Parameter'!$B:$B,MATCH("r_b",'Global Parameter'!$A:$A,0))),0.703,IF(INDEX('Global Parameter'!$B:$B,MATCH("r_b",'Global Parameter'!$A:$A,0))="",0.703,INDEX('Global Parameter'!$B:$B,MATCH("r_b",'Global Parameter'!$A:$A,0))))&amp;IF(ISBLANK(INDEX('Global Parameter'!$E:$E,MATCH("r_b",'Global Parameter'!$A:$A,0)))," m",IF(INDEX('Global Parameter'!$E:$E,MATCH("r_b",'Global Parameter'!$A:$A,0))=""," m",INDEX('Global Parameter'!$E:$E,MATCH("r_b",'Global Parameter'!$A:$A,0))))&amp;";"</f>
        <v/>
      </c>
    </row>
    <row r="19">
      <c r="B19">
        <f>"var freeboard = "&amp;IF(ISBLANK(INDEX('Global Parameter'!$D:$D,MATCH("freeboard",'Global Parameter'!$A:$A,0))),"",INDEX('Global Parameter'!$D:$D,MATCH("freeboard",'Global Parameter'!$A:$A,0)))&amp;IF(ISBLANK(INDEX('Global Parameter'!$B:$B,MATCH("freeboard",'Global Parameter'!$A:$A,0))),0.5,IF(INDEX('Global Parameter'!$B:$B,MATCH("freeboard",'Global Parameter'!$A:$A,0))="",0.5,INDEX('Global Parameter'!$B:$B,MATCH("freeboard",'Global Parameter'!$A:$A,0))))&amp;IF(ISBLANK(INDEX('Global Parameter'!$E:$E,MATCH("freeboard",'Global Parameter'!$A:$A,0)))," m",IF(INDEX('Global Parameter'!$E:$E,MATCH("freeboard",'Global Parameter'!$A:$A,0))=""," m",INDEX('Global Parameter'!$E:$E,MATCH("freeboard",'Global Parameter'!$A:$A,0))))&amp;";"</f>
        <v/>
      </c>
      <c r="C19">
        <f>"var freeboard = "&amp;IF(ISBLANK(INDEX('Global Parameter'!$D:$D,MATCH("freeboard",'Global Parameter'!$A:$A,0))),"",INDEX('Global Parameter'!$D:$D,MATCH("freeboard",'Global Parameter'!$A:$A,0)))&amp;IF(ISBLANK(INDEX('Global Parameter'!$B:$B,MATCH("freeboard",'Global Parameter'!$A:$A,0))),0.5,IF(INDEX('Global Parameter'!$B:$B,MATCH("freeboard",'Global Parameter'!$A:$A,0))="",0.5,INDEX('Global Parameter'!$B:$B,MATCH("freeboard",'Global Parameter'!$A:$A,0))))&amp;IF(ISBLANK(INDEX('Global Parameter'!$E:$E,MATCH("freeboard",'Global Parameter'!$A:$A,0)))," m",IF(INDEX('Global Parameter'!$E:$E,MATCH("freeboard",'Global Parameter'!$A:$A,0))=""," m",INDEX('Global Parameter'!$E:$E,MATCH("freeboard",'Global Parameter'!$A:$A,0))))&amp;";"</f>
        <v/>
      </c>
      <c r="D19">
        <f>"var freeboard = "&amp;IF(ISBLANK(INDEX('Global Parameter'!$D:$D,MATCH("freeboard",'Global Parameter'!$A:$A,0))),"",INDEX('Global Parameter'!$D:$D,MATCH("freeboard",'Global Parameter'!$A:$A,0)))&amp;IF(ISBLANK(INDEX('Global Parameter'!$B:$B,MATCH("freeboard",'Global Parameter'!$A:$A,0))),0.5,IF(INDEX('Global Parameter'!$B:$B,MATCH("freeboard",'Global Parameter'!$A:$A,0))="",0.5,INDEX('Global Parameter'!$B:$B,MATCH("freeboard",'Global Parameter'!$A:$A,0))))&amp;IF(ISBLANK(INDEX('Global Parameter'!$E:$E,MATCH("freeboard",'Global Parameter'!$A:$A,0)))," m",IF(INDEX('Global Parameter'!$E:$E,MATCH("freeboard",'Global Parameter'!$A:$A,0))=""," m",INDEX('Global Parameter'!$E:$E,MATCH("freeboard",'Global Parameter'!$A:$A,0))))&amp;";"</f>
        <v/>
      </c>
    </row>
    <row r="20">
      <c r="B20">
        <f>"var rho_sea = "&amp;IF(ISBLANK(INDEX('Global Parameter'!$D:$D,MATCH("rho_sea",'Global Parameter'!$A:$A,0))),"",INDEX('Global Parameter'!$D:$D,MATCH("rho_sea",'Global Parameter'!$A:$A,0)))&amp;IF(ISBLANK(INDEX('Global Parameter'!$B:$B,MATCH("rho_sea",'Global Parameter'!$A:$A,0))),1025,IF(INDEX('Global Parameter'!$B:$B,MATCH("rho_sea",'Global Parameter'!$A:$A,0))="",1025,INDEX('Global Parameter'!$B:$B,MATCH("rho_sea",'Global Parameter'!$A:$A,0))))&amp;IF(ISBLANK(INDEX('Global Parameter'!$E:$E,MATCH("rho_sea",'Global Parameter'!$A:$A,0)))," kg/m^3",IF(INDEX('Global Parameter'!$E:$E,MATCH("rho_sea",'Global Parameter'!$A:$A,0))=""," kg/m^3",INDEX('Global Parameter'!$E:$E,MATCH("rho_sea",'Global Parameter'!$A:$A,0))))&amp;";"</f>
        <v/>
      </c>
      <c r="C20">
        <f>"var rho_sea = "&amp;IF(ISBLANK(INDEX('Global Parameter'!$D:$D,MATCH("rho_sea",'Global Parameter'!$A:$A,0))),"",INDEX('Global Parameter'!$D:$D,MATCH("rho_sea",'Global Parameter'!$A:$A,0)))&amp;IF(ISBLANK(INDEX('Global Parameter'!$B:$B,MATCH("rho_sea",'Global Parameter'!$A:$A,0))),1025,IF(INDEX('Global Parameter'!$B:$B,MATCH("rho_sea",'Global Parameter'!$A:$A,0))="",1025,INDEX('Global Parameter'!$B:$B,MATCH("rho_sea",'Global Parameter'!$A:$A,0))))&amp;IF(ISBLANK(INDEX('Global Parameter'!$E:$E,MATCH("rho_sea",'Global Parameter'!$A:$A,0)))," kg/m^3",IF(INDEX('Global Parameter'!$E:$E,MATCH("rho_sea",'Global Parameter'!$A:$A,0))=""," kg/m^3",INDEX('Global Parameter'!$E:$E,MATCH("rho_sea",'Global Parameter'!$A:$A,0))))&amp;";"</f>
        <v/>
      </c>
      <c r="D20">
        <f>"var rho_sea = "&amp;IF(ISBLANK(INDEX('Global Parameter'!$D:$D,MATCH("rho_sea",'Global Parameter'!$A:$A,0))),"",INDEX('Global Parameter'!$D:$D,MATCH("rho_sea",'Global Parameter'!$A:$A,0)))&amp;IF(ISBLANK(INDEX('Global Parameter'!$B:$B,MATCH("rho_sea",'Global Parameter'!$A:$A,0))),1025,IF(INDEX('Global Parameter'!$B:$B,MATCH("rho_sea",'Global Parameter'!$A:$A,0))="",1025,INDEX('Global Parameter'!$B:$B,MATCH("rho_sea",'Global Parameter'!$A:$A,0))))&amp;IF(ISBLANK(INDEX('Global Parameter'!$E:$E,MATCH("rho_sea",'Global Parameter'!$A:$A,0)))," kg/m^3",IF(INDEX('Global Parameter'!$E:$E,MATCH("rho_sea",'Global Parameter'!$A:$A,0))=""," kg/m^3",INDEX('Global Parameter'!$E:$E,MATCH("rho_sea",'Global Parameter'!$A:$A,0))))&amp;";"</f>
        <v/>
      </c>
    </row>
    <row r="21">
      <c r="B21">
        <f>"var g = "&amp;IF(ISBLANK(INDEX('Global Parameter'!$D:$D,MATCH("g",'Global Parameter'!$A:$A,0))),"",INDEX('Global Parameter'!$D:$D,MATCH("g",'Global Parameter'!$A:$A,0)))&amp;IF(ISBLANK(INDEX('Global Parameter'!$B:$B,MATCH("g",'Global Parameter'!$A:$A,0))),9.81,IF(INDEX('Global Parameter'!$B:$B,MATCH("g",'Global Parameter'!$A:$A,0))="",9.81,INDEX('Global Parameter'!$B:$B,MATCH("g",'Global Parameter'!$A:$A,0))))&amp;IF(ISBLANK(INDEX('Global Parameter'!$E:$E,MATCH("g",'Global Parameter'!$A:$A,0)))," m/s^2",IF(INDEX('Global Parameter'!$E:$E,MATCH("g",'Global Parameter'!$A:$A,0))=""," m/s^2",INDEX('Global Parameter'!$E:$E,MATCH("g",'Global Parameter'!$A:$A,0))))&amp;";"</f>
        <v/>
      </c>
      <c r="C21">
        <f>"var g = "&amp;IF(ISBLANK(INDEX('Global Parameter'!$D:$D,MATCH("g",'Global Parameter'!$A:$A,0))),"",INDEX('Global Parameter'!$D:$D,MATCH("g",'Global Parameter'!$A:$A,0)))&amp;IF(ISBLANK(INDEX('Global Parameter'!$B:$B,MATCH("g",'Global Parameter'!$A:$A,0))),9.81,IF(INDEX('Global Parameter'!$B:$B,MATCH("g",'Global Parameter'!$A:$A,0))="",9.81,INDEX('Global Parameter'!$B:$B,MATCH("g",'Global Parameter'!$A:$A,0))))&amp;IF(ISBLANK(INDEX('Global Parameter'!$E:$E,MATCH("g",'Global Parameter'!$A:$A,0)))," m/s^2",IF(INDEX('Global Parameter'!$E:$E,MATCH("g",'Global Parameter'!$A:$A,0))=""," m/s^2",INDEX('Global Parameter'!$E:$E,MATCH("g",'Global Parameter'!$A:$A,0))))&amp;";"</f>
        <v/>
      </c>
      <c r="D21">
        <f>"var g = "&amp;IF(ISBLANK(INDEX('Global Parameter'!$D:$D,MATCH("g",'Global Parameter'!$A:$A,0))),"",INDEX('Global Parameter'!$D:$D,MATCH("g",'Global Parameter'!$A:$A,0)))&amp;IF(ISBLANK(INDEX('Global Parameter'!$B:$B,MATCH("g",'Global Parameter'!$A:$A,0))),9.81,IF(INDEX('Global Parameter'!$B:$B,MATCH("g",'Global Parameter'!$A:$A,0))="",9.81,INDEX('Global Parameter'!$B:$B,MATCH("g",'Global Parameter'!$A:$A,0))))&amp;IF(ISBLANK(INDEX('Global Parameter'!$E:$E,MATCH("g",'Global Parameter'!$A:$A,0)))," m/s^2",IF(INDEX('Global Parameter'!$E:$E,MATCH("g",'Global Parameter'!$A:$A,0))=""," m/s^2",INDEX('Global Parameter'!$E:$E,MATCH("g",'Global Parameter'!$A:$A,0))))&amp;";"</f>
        <v/>
      </c>
    </row>
    <row r="22">
      <c r="B22">
        <f>"var Cb = "&amp;IF(ISBLANK(INDEX('Global Parameter'!$D:$D,MATCH("Cb",'Global Parameter'!$A:$A,0))),"",INDEX('Global Parameter'!$D:$D,MATCH("Cb",'Global Parameter'!$A:$A,0)))&amp;IF(ISBLANK(INDEX('Global Parameter'!$B:$B,MATCH("Cb",'Global Parameter'!$A:$A,0))),1,IF(INDEX('Global Parameter'!$B:$B,MATCH("Cb",'Global Parameter'!$A:$A,0))="",1,INDEX('Global Parameter'!$B:$B,MATCH("Cb",'Global Parameter'!$A:$A,0))))&amp;IF(ISBLANK(INDEX('Global Parameter'!$E:$E,MATCH("Cb",'Global Parameter'!$A:$A,0))),"",INDEX('Global Parameter'!$E:$E,MATCH("Cb",'Global Parameter'!$A:$A,0)))&amp;";"</f>
        <v/>
      </c>
      <c r="C22">
        <f>"var Cb = "&amp;IF(ISBLANK(INDEX('Global Parameter'!$D:$D,MATCH("Cb",'Global Parameter'!$A:$A,0))),"",INDEX('Global Parameter'!$D:$D,MATCH("Cb",'Global Parameter'!$A:$A,0)))&amp;IF(ISBLANK(INDEX('Global Parameter'!$B:$B,MATCH("Cb",'Global Parameter'!$A:$A,0))),1,IF(INDEX('Global Parameter'!$B:$B,MATCH("Cb",'Global Parameter'!$A:$A,0))="",1,INDEX('Global Parameter'!$B:$B,MATCH("Cb",'Global Parameter'!$A:$A,0))))&amp;IF(ISBLANK(INDEX('Global Parameter'!$E:$E,MATCH("Cb",'Global Parameter'!$A:$A,0))),"",INDEX('Global Parameter'!$E:$E,MATCH("Cb",'Global Parameter'!$A:$A,0)))&amp;";"</f>
        <v/>
      </c>
      <c r="D22">
        <f>"var Cb = "&amp;IF(ISBLANK(INDEX('Global Parameter'!$D:$D,MATCH("Cb",'Global Parameter'!$A:$A,0))),"",INDEX('Global Parameter'!$D:$D,MATCH("Cb",'Global Parameter'!$A:$A,0)))&amp;IF(ISBLANK(INDEX('Global Parameter'!$B:$B,MATCH("Cb",'Global Parameter'!$A:$A,0))),1,IF(INDEX('Global Parameter'!$B:$B,MATCH("Cb",'Global Parameter'!$A:$A,0))="",1,INDEX('Global Parameter'!$B:$B,MATCH("Cb",'Global Parameter'!$A:$A,0))))&amp;IF(ISBLANK(INDEX('Global Parameter'!$E:$E,MATCH("Cb",'Global Parameter'!$A:$A,0))),"",INDEX('Global Parameter'!$E:$E,MATCH("Cb",'Global Parameter'!$A:$A,0)))&amp;";"</f>
        <v/>
      </c>
    </row>
    <row r="23">
      <c r="B23">
        <f>"// --- this case"</f>
        <v/>
      </c>
      <c r="C23">
        <f>"// --- this case"</f>
        <v/>
      </c>
      <c r="D23">
        <f>"// --- this case"</f>
        <v/>
      </c>
    </row>
    <row r="24">
      <c r="B24">
        <f>"var draft = "&amp;IF(ISBLANK(INDEX('Local Parameter'!$C:$C,MATCH("draft",'Local Parameter'!$A:$A,0))),"",INDEX('Local Parameter'!$C:$C,MATCH("draft",'Local Parameter'!$A:$A,0)))&amp;IF(ISBLANK(INDEX('Local Parameter'!E:E,MATCH("draft",'Local Parameter'!$A:$A,0))),20.559,IF(INDEX('Local Parameter'!E:E,MATCH("draft",'Local Parameter'!$A:$A,0))="",20.559,INDEX('Local Parameter'!E:E,MATCH("draft",'Local Parameter'!$A:$A,0))))&amp;IF(ISBLANK(INDEX('Local Parameter'!$D:$D,MATCH("draft",'Local Parameter'!$A:$A,0)))," m",IF(INDEX('Local Parameter'!$D:$D,MATCH("draft",'Local Parameter'!$A:$A,0))=""," m",INDEX('Local Parameter'!$D:$D,MATCH("draft",'Local Parameter'!$A:$A,0))))&amp;";"</f>
        <v/>
      </c>
      <c r="C24">
        <f>"var draft = "&amp;IF(ISBLANK(INDEX('Local Parameter'!$C:$C,MATCH("draft",'Local Parameter'!$A:$A,0))),"",INDEX('Local Parameter'!$C:$C,MATCH("draft",'Local Parameter'!$A:$A,0)))&amp;IF(ISBLANK(INDEX('Local Parameter'!F:F,MATCH("draft",'Local Parameter'!$A:$A,0))),20.559,IF(INDEX('Local Parameter'!F:F,MATCH("draft",'Local Parameter'!$A:$A,0))="",20.559,INDEX('Local Parameter'!F:F,MATCH("draft",'Local Parameter'!$A:$A,0))))&amp;IF(ISBLANK(INDEX('Local Parameter'!$D:$D,MATCH("draft",'Local Parameter'!$A:$A,0)))," m",IF(INDEX('Local Parameter'!$D:$D,MATCH("draft",'Local Parameter'!$A:$A,0))=""," m",INDEX('Local Parameter'!$D:$D,MATCH("draft",'Local Parameter'!$A:$A,0))))&amp;";"</f>
        <v/>
      </c>
      <c r="D24">
        <f>"var draft = "&amp;IF(ISBLANK(INDEX('Local Parameter'!$C:$C,MATCH("draft",'Local Parameter'!$A:$A,0))),"",INDEX('Local Parameter'!$C:$C,MATCH("draft",'Local Parameter'!$A:$A,0)))&amp;IF(ISBLANK(INDEX('Local Parameter'!G:G,MATCH("draft",'Local Parameter'!$A:$A,0))),20.559,IF(INDEX('Local Parameter'!G:G,MATCH("draft",'Local Parameter'!$A:$A,0))="",20.559,INDEX('Local Parameter'!G:G,MATCH("draft",'Local Parameter'!$A:$A,0))))&amp;IF(ISBLANK(INDEX('Local Parameter'!$D:$D,MATCH("draft",'Local Parameter'!$A:$A,0)))," m",IF(INDEX('Local Parameter'!$D:$D,MATCH("draft",'Local Parameter'!$A:$A,0))=""," m",INDEX('Local Parameter'!$D:$D,MATCH("draft",'Local Parameter'!$A:$A,0))))&amp;";"</f>
        <v/>
      </c>
    </row>
    <row r="25">
      <c r="B25">
        <f>"var mu_deg = "&amp;IF(ISBLANK(INDEX('Local Parameter'!$C:$C,MATCH("mu_deg",'Local Parameter'!$A:$A,0))),"",INDEX('Local Parameter'!$C:$C,MATCH("mu_deg",'Local Parameter'!$A:$A,0)))&amp;IF(ISBLANK(INDEX('Local Parameter'!E:E,MATCH("mu_deg",'Local Parameter'!$A:$A,0))),90,IF(INDEX('Local Parameter'!E:E,MATCH("mu_deg",'Local Parameter'!$A:$A,0))="",90,INDEX('Local Parameter'!E:E,MATCH("mu_deg",'Local Parameter'!$A:$A,0))))&amp;IF(ISBLANK(INDEX('Local Parameter'!$D:$D,MATCH("mu_deg",'Local Parameter'!$A:$A,0)))," deg",IF(INDEX('Local Parameter'!$D:$D,MATCH("mu_deg",'Local Parameter'!$A:$A,0))=""," deg",INDEX('Local Parameter'!$D:$D,MATCH("mu_deg",'Local Parameter'!$A:$A,0))))&amp;";"</f>
        <v/>
      </c>
      <c r="C25">
        <f>"var mu_deg = "&amp;IF(ISBLANK(INDEX('Local Parameter'!$C:$C,MATCH("mu_deg",'Local Parameter'!$A:$A,0))),"",INDEX('Local Parameter'!$C:$C,MATCH("mu_deg",'Local Parameter'!$A:$A,0)))&amp;IF(ISBLANK(INDEX('Local Parameter'!F:F,MATCH("mu_deg",'Local Parameter'!$A:$A,0))),90,IF(INDEX('Local Parameter'!F:F,MATCH("mu_deg",'Local Parameter'!$A:$A,0))="",90,INDEX('Local Parameter'!F:F,MATCH("mu_deg",'Local Parameter'!$A:$A,0))))&amp;IF(ISBLANK(INDEX('Local Parameter'!$D:$D,MATCH("mu_deg",'Local Parameter'!$A:$A,0)))," deg",IF(INDEX('Local Parameter'!$D:$D,MATCH("mu_deg",'Local Parameter'!$A:$A,0))=""," deg",INDEX('Local Parameter'!$D:$D,MATCH("mu_deg",'Local Parameter'!$A:$A,0))))&amp;";"</f>
        <v/>
      </c>
      <c r="D25">
        <f>"var mu_deg = "&amp;IF(ISBLANK(INDEX('Local Parameter'!$C:$C,MATCH("mu_deg",'Local Parameter'!$A:$A,0))),"",INDEX('Local Parameter'!$C:$C,MATCH("mu_deg",'Local Parameter'!$A:$A,0)))&amp;IF(ISBLANK(INDEX('Local Parameter'!G:G,MATCH("mu_deg",'Local Parameter'!$A:$A,0))),90,IF(INDEX('Local Parameter'!G:G,MATCH("mu_deg",'Local Parameter'!$A:$A,0))="",90,INDEX('Local Parameter'!G:G,MATCH("mu_deg",'Local Parameter'!$A:$A,0))))&amp;IF(ISBLANK(INDEX('Local Parameter'!$D:$D,MATCH("mu_deg",'Local Parameter'!$A:$A,0)))," deg",IF(INDEX('Local Parameter'!$D:$D,MATCH("mu_deg",'Local Parameter'!$A:$A,0))=""," deg",INDEX('Local Parameter'!$D:$D,MATCH("mu_deg",'Local Parameter'!$A:$A,0))))&amp;";"</f>
        <v/>
      </c>
    </row>
    <row r="26">
      <c r="B26">
        <f>"var k_c = "&amp;IF(ISBLANK(INDEX('Local Parameter'!$C:$C,MATCH("k_c",'Local Parameter'!$A:$A,0))),"",INDEX('Local Parameter'!$C:$C,MATCH("k_c",'Local Parameter'!$A:$A,0)))&amp;IF(ISBLANK(INDEX('Local Parameter'!E:E,MATCH("k_c",'Local Parameter'!$A:$A,0))),1,IF(INDEX('Local Parameter'!E:E,MATCH("k_c",'Local Parameter'!$A:$A,0))="",1,INDEX('Local Parameter'!E:E,MATCH("k_c",'Local Parameter'!$A:$A,0))))&amp;IF(ISBLANK(INDEX('Local Parameter'!$D:$D,MATCH("k_c",'Local Parameter'!$A:$A,0))),"",INDEX('Local Parameter'!$D:$D,MATCH("k_c",'Local Parameter'!$A:$A,0)))&amp;";"</f>
        <v/>
      </c>
      <c r="C26">
        <f>"var k_c = "&amp;IF(ISBLANK(INDEX('Local Parameter'!$C:$C,MATCH("k_c",'Local Parameter'!$A:$A,0))),"",INDEX('Local Parameter'!$C:$C,MATCH("k_c",'Local Parameter'!$A:$A,0)))&amp;IF(ISBLANK(INDEX('Local Parameter'!F:F,MATCH("k_c",'Local Parameter'!$A:$A,0))),1,IF(INDEX('Local Parameter'!F:F,MATCH("k_c",'Local Parameter'!$A:$A,0))="",1,INDEX('Local Parameter'!F:F,MATCH("k_c",'Local Parameter'!$A:$A,0))))&amp;IF(ISBLANK(INDEX('Local Parameter'!$D:$D,MATCH("k_c",'Local Parameter'!$A:$A,0))),"",INDEX('Local Parameter'!$D:$D,MATCH("k_c",'Local Parameter'!$A:$A,0)))&amp;";"</f>
        <v/>
      </c>
      <c r="D26">
        <f>"var k_c = "&amp;IF(ISBLANK(INDEX('Local Parameter'!$C:$C,MATCH("k_c",'Local Parameter'!$A:$A,0))),"",INDEX('Local Parameter'!$C:$C,MATCH("k_c",'Local Parameter'!$A:$A,0)))&amp;IF(ISBLANK(INDEX('Local Parameter'!G:G,MATCH("k_c",'Local Parameter'!$A:$A,0))),1,IF(INDEX('Local Parameter'!G:G,MATCH("k_c",'Local Parameter'!$A:$A,0))="",1,INDEX('Local Parameter'!G:G,MATCH("k_c",'Local Parameter'!$A:$A,0))))&amp;IF(ISBLANK(INDEX('Local Parameter'!$D:$D,MATCH("k_c",'Local Parameter'!$A:$A,0))),"",INDEX('Local Parameter'!$D:$D,MATCH("k_c",'Local Parameter'!$A:$A,0)))&amp;";"</f>
        <v/>
      </c>
    </row>
    <row r="27">
      <c r="B27">
        <f>"var k_f0 = "&amp;IF(ISBLANK(INDEX('Local Parameter'!$C:$C,MATCH("k_f0",'Local Parameter'!$A:$A,0))),"",INDEX('Local Parameter'!$C:$C,MATCH("k_f0",'Local Parameter'!$A:$A,0)))&amp;IF(ISBLANK(INDEX('Local Parameter'!E:E,MATCH("k_f0",'Local Parameter'!$A:$A,0))),1,IF(INDEX('Local Parameter'!E:E,MATCH("k_f0",'Local Parameter'!$A:$A,0))="",1,INDEX('Local Parameter'!E:E,MATCH("k_f0",'Local Parameter'!$A:$A,0))))&amp;IF(ISBLANK(INDEX('Local Parameter'!$D:$D,MATCH("k_f0",'Local Parameter'!$A:$A,0))),"",INDEX('Local Parameter'!$D:$D,MATCH("k_f0",'Local Parameter'!$A:$A,0)))&amp;";"</f>
        <v/>
      </c>
      <c r="C27">
        <f>"var k_f0 = "&amp;IF(ISBLANK(INDEX('Local Parameter'!$C:$C,MATCH("k_f0",'Local Parameter'!$A:$A,0))),"",INDEX('Local Parameter'!$C:$C,MATCH("k_f0",'Local Parameter'!$A:$A,0)))&amp;IF(ISBLANK(INDEX('Local Parameter'!F:F,MATCH("k_f0",'Local Parameter'!$A:$A,0))),1,IF(INDEX('Local Parameter'!F:F,MATCH("k_f0",'Local Parameter'!$A:$A,0))="",1,INDEX('Local Parameter'!F:F,MATCH("k_f0",'Local Parameter'!$A:$A,0))))&amp;IF(ISBLANK(INDEX('Local Parameter'!$D:$D,MATCH("k_f0",'Local Parameter'!$A:$A,0))),"",INDEX('Local Parameter'!$D:$D,MATCH("k_f0",'Local Parameter'!$A:$A,0)))&amp;";"</f>
        <v/>
      </c>
      <c r="D27">
        <f>"var k_f0 = "&amp;IF(ISBLANK(INDEX('Local Parameter'!$C:$C,MATCH("k_f0",'Local Parameter'!$A:$A,0))),"",INDEX('Local Parameter'!$C:$C,MATCH("k_f0",'Local Parameter'!$A:$A,0)))&amp;IF(ISBLANK(INDEX('Local Parameter'!G:G,MATCH("k_f0",'Local Parameter'!$A:$A,0))),1,IF(INDEX('Local Parameter'!G:G,MATCH("k_f0",'Local Parameter'!$A:$A,0))="",1,INDEX('Local Parameter'!G:G,MATCH("k_f0",'Local Parameter'!$A:$A,0))))&amp;IF(ISBLANK(INDEX('Local Parameter'!$D:$D,MATCH("k_f0",'Local Parameter'!$A:$A,0))),"",INDEX('Local Parameter'!$D:$D,MATCH("k_f0",'Local Parameter'!$A:$A,0)))&amp;";"</f>
        <v/>
      </c>
    </row>
    <row r="28">
      <c r="B28">
        <f>"var k_u = "&amp;IF(ISBLANK(INDEX('Local Parameter'!$C:$C,MATCH("k_u",'Local Parameter'!$A:$A,0))),"",INDEX('Local Parameter'!$C:$C,MATCH("k_u",'Local Parameter'!$A:$A,0)))&amp;IF(ISBLANK(INDEX('Local Parameter'!E:E,MATCH("k_u",'Local Parameter'!$A:$A,0))),1.1,IF(INDEX('Local Parameter'!E:E,MATCH("k_u",'Local Parameter'!$A:$A,0))="",1.1,INDEX('Local Parameter'!E:E,MATCH("k_u",'Local Parameter'!$A:$A,0))))&amp;IF(ISBLANK(INDEX('Local Parameter'!$D:$D,MATCH("k_u",'Local Parameter'!$A:$A,0))),"",INDEX('Local Parameter'!$D:$D,MATCH("k_u",'Local Parameter'!$A:$A,0)))&amp;";"</f>
        <v/>
      </c>
      <c r="C28">
        <f>"var k_u = "&amp;IF(ISBLANK(INDEX('Local Parameter'!$C:$C,MATCH("k_u",'Local Parameter'!$A:$A,0))),"",INDEX('Local Parameter'!$C:$C,MATCH("k_u",'Local Parameter'!$A:$A,0)))&amp;IF(ISBLANK(INDEX('Local Parameter'!F:F,MATCH("k_u",'Local Parameter'!$A:$A,0))),1.1,IF(INDEX('Local Parameter'!F:F,MATCH("k_u",'Local Parameter'!$A:$A,0))="",1.1,INDEX('Local Parameter'!F:F,MATCH("k_u",'Local Parameter'!$A:$A,0))))&amp;IF(ISBLANK(INDEX('Local Parameter'!$D:$D,MATCH("k_u",'Local Parameter'!$A:$A,0))),"",INDEX('Local Parameter'!$D:$D,MATCH("k_u",'Local Parameter'!$A:$A,0)))&amp;";"</f>
        <v/>
      </c>
      <c r="D28">
        <f>"var k_u = "&amp;IF(ISBLANK(INDEX('Local Parameter'!$C:$C,MATCH("k_u",'Local Parameter'!$A:$A,0))),"",INDEX('Local Parameter'!$C:$C,MATCH("k_u",'Local Parameter'!$A:$A,0)))&amp;IF(ISBLANK(INDEX('Local Parameter'!G:G,MATCH("k_u",'Local Parameter'!$A:$A,0))),1.1,IF(INDEX('Local Parameter'!G:G,MATCH("k_u",'Local Parameter'!$A:$A,0))="",1.1,INDEX('Local Parameter'!G:G,MATCH("k_u",'Local Parameter'!$A:$A,0))))&amp;IF(ISBLANK(INDEX('Local Parameter'!$D:$D,MATCH("k_u",'Local Parameter'!$A:$A,0))),"",INDEX('Local Parameter'!$D:$D,MATCH("k_u",'Local Parameter'!$A:$A,0)))&amp;";"</f>
        <v/>
      </c>
    </row>
    <row r="29">
      <c r="B29">
        <f>"var beta_EPS = "&amp;IF(ISBLANK(INDEX('Local Parameter'!$C:$C,MATCH("beta_EPS",'Local Parameter'!$A:$A,0))),"",INDEX('Local Parameter'!$C:$C,MATCH("beta_EPS",'Local Parameter'!$A:$A,0)))&amp;IF(ISBLANK(INDEX('Local Parameter'!E:E,MATCH("beta_EPS",'Local Parameter'!$A:$A,0))),0.733,IF(INDEX('Local Parameter'!E:E,MATCH("beta_EPS",'Local Parameter'!$A:$A,0))="",0.733,INDEX('Local Parameter'!E:E,MATCH("beta_EPS",'Local Parameter'!$A:$A,0))))&amp;IF(ISBLANK(INDEX('Local Parameter'!$D:$D,MATCH("beta_EPS",'Local Parameter'!$A:$A,0))),"",INDEX('Local Parameter'!$D:$D,MATCH("beta_EPS",'Local Parameter'!$A:$A,0)))&amp;";"</f>
        <v/>
      </c>
      <c r="C29">
        <f>"var beta_EPS = "&amp;IF(ISBLANK(INDEX('Local Parameter'!$C:$C,MATCH("beta_EPS",'Local Parameter'!$A:$A,0))),"",INDEX('Local Parameter'!$C:$C,MATCH("beta_EPS",'Local Parameter'!$A:$A,0)))&amp;IF(ISBLANK(INDEX('Local Parameter'!F:F,MATCH("beta_EPS",'Local Parameter'!$A:$A,0))),0.733,IF(INDEX('Local Parameter'!F:F,MATCH("beta_EPS",'Local Parameter'!$A:$A,0))="",0.733,INDEX('Local Parameter'!F:F,MATCH("beta_EPS",'Local Parameter'!$A:$A,0))))&amp;IF(ISBLANK(INDEX('Local Parameter'!$D:$D,MATCH("beta_EPS",'Local Parameter'!$A:$A,0))),"",INDEX('Local Parameter'!$D:$D,MATCH("beta_EPS",'Local Parameter'!$A:$A,0)))&amp;";"</f>
        <v/>
      </c>
      <c r="D29">
        <f>"var beta_EPS = "&amp;IF(ISBLANK(INDEX('Local Parameter'!$C:$C,MATCH("beta_EPS",'Local Parameter'!$A:$A,0))),"",INDEX('Local Parameter'!$C:$C,MATCH("beta_EPS",'Local Parameter'!$A:$A,0)))&amp;IF(ISBLANK(INDEX('Local Parameter'!G:G,MATCH("beta_EPS",'Local Parameter'!$A:$A,0))),0.733,IF(INDEX('Local Parameter'!G:G,MATCH("beta_EPS",'Local Parameter'!$A:$A,0))="",0.733,INDEX('Local Parameter'!G:G,MATCH("beta_EPS",'Local Parameter'!$A:$A,0))))&amp;IF(ISBLANK(INDEX('Local Parameter'!$D:$D,MATCH("beta_EPS",'Local Parameter'!$A:$A,0))),"",INDEX('Local Parameter'!$D:$D,MATCH("beta_EPS",'Local Parameter'!$A:$A,0)))&amp;";"</f>
        <v/>
      </c>
    </row>
    <row r="30">
      <c r="B30">
        <f>"var beta_EPP = "&amp;IF(ISBLANK(INDEX('Local Parameter'!$C:$C,MATCH("beta_EPP",'Local Parameter'!$A:$A,0))),"",INDEX('Local Parameter'!$C:$C,MATCH("beta_EPP",'Local Parameter'!$A:$A,0)))&amp;IF(ISBLANK(INDEX('Local Parameter'!E:E,MATCH("beta_EPP",'Local Parameter'!$A:$A,0))),0.733,IF(INDEX('Local Parameter'!E:E,MATCH("beta_EPP",'Local Parameter'!$A:$A,0))="",0.733,INDEX('Local Parameter'!E:E,MATCH("beta_EPP",'Local Parameter'!$A:$A,0))))&amp;IF(ISBLANK(INDEX('Local Parameter'!$D:$D,MATCH("beta_EPP",'Local Parameter'!$A:$A,0))),"",INDEX('Local Parameter'!$D:$D,MATCH("beta_EPP",'Local Parameter'!$A:$A,0)))&amp;";"</f>
        <v/>
      </c>
      <c r="C30">
        <f>"var beta_EPP = "&amp;IF(ISBLANK(INDEX('Local Parameter'!$C:$C,MATCH("beta_EPP",'Local Parameter'!$A:$A,0))),"",INDEX('Local Parameter'!$C:$C,MATCH("beta_EPP",'Local Parameter'!$A:$A,0)))&amp;IF(ISBLANK(INDEX('Local Parameter'!F:F,MATCH("beta_EPP",'Local Parameter'!$A:$A,0))),0.733,IF(INDEX('Local Parameter'!F:F,MATCH("beta_EPP",'Local Parameter'!$A:$A,0))="",0.733,INDEX('Local Parameter'!F:F,MATCH("beta_EPP",'Local Parameter'!$A:$A,0))))&amp;IF(ISBLANK(INDEX('Local Parameter'!$D:$D,MATCH("beta_EPP",'Local Parameter'!$A:$A,0))),"",INDEX('Local Parameter'!$D:$D,MATCH("beta_EPP",'Local Parameter'!$A:$A,0)))&amp;";"</f>
        <v/>
      </c>
      <c r="D30">
        <f>"var beta_EPP = "&amp;IF(ISBLANK(INDEX('Local Parameter'!$C:$C,MATCH("beta_EPP",'Local Parameter'!$A:$A,0))),"",INDEX('Local Parameter'!$C:$C,MATCH("beta_EPP",'Local Parameter'!$A:$A,0)))&amp;IF(ISBLANK(INDEX('Local Parameter'!G:G,MATCH("beta_EPP",'Local Parameter'!$A:$A,0))),0.733,IF(INDEX('Local Parameter'!G:G,MATCH("beta_EPP",'Local Parameter'!$A:$A,0))="",0.733,INDEX('Local Parameter'!G:G,MATCH("beta_EPP",'Local Parameter'!$A:$A,0))))&amp;IF(ISBLANK(INDEX('Local Parameter'!$D:$D,MATCH("beta_EPP",'Local Parameter'!$A:$A,0))),"",INDEX('Local Parameter'!$D:$D,MATCH("beta_EPP",'Local Parameter'!$A:$A,0)))&amp;";"</f>
        <v/>
      </c>
    </row>
    <row r="31">
      <c r="B31">
        <f>"var k_esf = "&amp;IF(ISBLANK(INDEX('Local Parameter'!$C:$C,MATCH("k_esf",'Local Parameter'!$A:$A,0))),"",INDEX('Local Parameter'!$C:$C,MATCH("k_esf",'Local Parameter'!$A:$A,0)))&amp;IF(ISBLANK(INDEX('Local Parameter'!E:E,MATCH("k_esf",'Local Parameter'!$A:$A,0))),1.1,IF(INDEX('Local Parameter'!E:E,MATCH("k_esf",'Local Parameter'!$A:$A,0))="",1.1,INDEX('Local Parameter'!E:E,MATCH("k_esf",'Local Parameter'!$A:$A,0))))&amp;IF(ISBLANK(INDEX('Local Parameter'!$D:$D,MATCH("k_esf",'Local Parameter'!$A:$A,0))),"",INDEX('Local Parameter'!$D:$D,MATCH("k_esf",'Local Parameter'!$A:$A,0)))&amp;";"</f>
        <v/>
      </c>
      <c r="C31">
        <f>"var k_esf = "&amp;IF(ISBLANK(INDEX('Local Parameter'!$C:$C,MATCH("k_esf",'Local Parameter'!$A:$A,0))),"",INDEX('Local Parameter'!$C:$C,MATCH("k_esf",'Local Parameter'!$A:$A,0)))&amp;IF(ISBLANK(INDEX('Local Parameter'!F:F,MATCH("k_esf",'Local Parameter'!$A:$A,0))),1.1,IF(INDEX('Local Parameter'!F:F,MATCH("k_esf",'Local Parameter'!$A:$A,0))="",1.1,INDEX('Local Parameter'!F:F,MATCH("k_esf",'Local Parameter'!$A:$A,0))))&amp;IF(ISBLANK(INDEX('Local Parameter'!$D:$D,MATCH("k_esf",'Local Parameter'!$A:$A,0))),"",INDEX('Local Parameter'!$D:$D,MATCH("k_esf",'Local Parameter'!$A:$A,0)))&amp;";"</f>
        <v/>
      </c>
      <c r="D31">
        <f>"var k_esf = "&amp;IF(ISBLANK(INDEX('Local Parameter'!$C:$C,MATCH("k_esf",'Local Parameter'!$A:$A,0))),"",INDEX('Local Parameter'!$C:$C,MATCH("k_esf",'Local Parameter'!$A:$A,0)))&amp;IF(ISBLANK(INDEX('Local Parameter'!G:G,MATCH("k_esf",'Local Parameter'!$A:$A,0))),1.1,IF(INDEX('Local Parameter'!G:G,MATCH("k_esf",'Local Parameter'!$A:$A,0))="",1.1,INDEX('Local Parameter'!G:G,MATCH("k_esf",'Local Parameter'!$A:$A,0))))&amp;IF(ISBLANK(INDEX('Local Parameter'!$D:$D,MATCH("k_esf",'Local Parameter'!$A:$A,0))),"",INDEX('Local Parameter'!$D:$D,MATCH("k_esf",'Local Parameter'!$A:$A,0)))&amp;";"</f>
        <v/>
      </c>
    </row>
    <row r="32">
      <c r="B32">
        <f>"var x_o = "&amp;IF(ISBLANK(INDEX('Local Parameter'!$C:$C,MATCH("x_o",'Local Parameter'!$A:$A,0))),"",INDEX('Local Parameter'!$C:$C,MATCH("x_o",'Local Parameter'!$A:$A,0)))&amp;IF(ISBLANK(INDEX('Local Parameter'!E:E,MATCH("x_o",'Local Parameter'!$A:$A,0))),51,IF(INDEX('Local Parameter'!E:E,MATCH("x_o",'Local Parameter'!$A:$A,0))="",51,INDEX('Local Parameter'!E:E,MATCH("x_o",'Local Parameter'!$A:$A,0))))&amp;IF(ISBLANK(INDEX('Local Parameter'!$D:$D,MATCH("x_o",'Local Parameter'!$A:$A,0)))," m",IF(INDEX('Local Parameter'!$D:$D,MATCH("x_o",'Local Parameter'!$A:$A,0))=""," m",INDEX('Local Parameter'!$D:$D,MATCH("x_o",'Local Parameter'!$A:$A,0))))&amp;";"</f>
        <v/>
      </c>
      <c r="C32">
        <f>"var x_o = "&amp;IF(ISBLANK(INDEX('Local Parameter'!$C:$C,MATCH("x_o",'Local Parameter'!$A:$A,0))),"",INDEX('Local Parameter'!$C:$C,MATCH("x_o",'Local Parameter'!$A:$A,0)))&amp;IF(ISBLANK(INDEX('Local Parameter'!F:F,MATCH("x_o",'Local Parameter'!$A:$A,0))),51,IF(INDEX('Local Parameter'!F:F,MATCH("x_o",'Local Parameter'!$A:$A,0))="",51,INDEX('Local Parameter'!F:F,MATCH("x_o",'Local Parameter'!$A:$A,0))))&amp;IF(ISBLANK(INDEX('Local Parameter'!$D:$D,MATCH("x_o",'Local Parameter'!$A:$A,0)))," m",IF(INDEX('Local Parameter'!$D:$D,MATCH("x_o",'Local Parameter'!$A:$A,0))=""," m",INDEX('Local Parameter'!$D:$D,MATCH("x_o",'Local Parameter'!$A:$A,0))))&amp;";"</f>
        <v/>
      </c>
      <c r="D32">
        <f>"var x_o = "&amp;IF(ISBLANK(INDEX('Local Parameter'!$C:$C,MATCH("x_o",'Local Parameter'!$A:$A,0))),"",INDEX('Local Parameter'!$C:$C,MATCH("x_o",'Local Parameter'!$A:$A,0)))&amp;IF(ISBLANK(INDEX('Local Parameter'!G:G,MATCH("x_o",'Local Parameter'!$A:$A,0))),51,IF(INDEX('Local Parameter'!G:G,MATCH("x_o",'Local Parameter'!$A:$A,0))="",51,INDEX('Local Parameter'!G:G,MATCH("x_o",'Local Parameter'!$A:$A,0))))&amp;IF(ISBLANK(INDEX('Local Parameter'!$D:$D,MATCH("x_o",'Local Parameter'!$A:$A,0)))," m",IF(INDEX('Local Parameter'!$D:$D,MATCH("x_o",'Local Parameter'!$A:$A,0))=""," m",INDEX('Local Parameter'!$D:$D,MATCH("x_o",'Local Parameter'!$A:$A,0))))&amp;";"</f>
        <v/>
      </c>
    </row>
    <row r="33">
      <c r="B33">
        <f>"// --- the calculation"</f>
        <v/>
      </c>
      <c r="C33">
        <f>"// --- the calculation"</f>
        <v/>
      </c>
      <c r="D33">
        <f>"// --- the calculation"</f>
        <v/>
      </c>
    </row>
    <row r="34">
      <c r="B34">
        <f>"var u = mu_deg;   // the heading, as an Angle -- cos/sin take it directly"</f>
        <v/>
      </c>
      <c r="C34">
        <f>"var u = mu_deg;   // the heading, as an Angle -- cos/sin take it directly"</f>
        <v/>
      </c>
      <c r="D34">
        <f>"var u = mu_deg;   // the heading, as an Angle -- cos/sin take it directly"</f>
        <v/>
      </c>
    </row>
    <row r="35">
      <c r="B35">
        <f>"var C_1 = 0;   // wave coefficient, 0 until a length bracket matches"</f>
        <v/>
      </c>
      <c r="C35">
        <f>"var C_1 = 0;   // wave coefficient, 0 until a length bracket matches"</f>
        <v/>
      </c>
      <c r="D35">
        <f>"var C_1 = 0;   // wave coefficient, 0 until a length bracket matches"</f>
        <v/>
      </c>
    </row>
    <row r="36">
      <c r="B36">
        <f>"// C_1 brackets of 3-2-1/3.5, closed at both ends; outside them C_1 is zero"</f>
        <v/>
      </c>
      <c r="C36">
        <f>"// C_1 brackets of 3-2-1/3.5, closed at both ends; outside them C_1 is zero"</f>
        <v/>
      </c>
      <c r="D36">
        <f>"// C_1 brackets of 3-2-1/3.5, closed at both ends; outside them C_1 is zero"</f>
        <v/>
      </c>
    </row>
    <row r="37">
      <c r="B37">
        <f>"if      (L &gt;= 61 m  &amp;&amp; L &lt;= 90 m ) C_1 = 0.044 * (L / 1 m) + 3.75;"</f>
        <v/>
      </c>
      <c r="C37">
        <f>"if      (L &gt;= 61 m  &amp;&amp; L &lt;= 90 m ) C_1 = 0.044 * (L / 1 m) + 3.75;"</f>
        <v/>
      </c>
      <c r="D37">
        <f>"if      (L &gt;= 61 m  &amp;&amp; L &lt;= 90 m ) C_1 = 0.044 * (L / 1 m) + 3.75;"</f>
        <v/>
      </c>
    </row>
    <row r="38">
      <c r="B38">
        <f>"else if (L &gt;  90 m  &amp;&amp; L &lt;  300 m) C_1 = 10.75 - Math.pow((300 m - L) / 100 m, 1.5);"</f>
        <v/>
      </c>
      <c r="C38">
        <f>"else if (L &gt;  90 m  &amp;&amp; L &lt;  300 m) C_1 = 10.75 - Math.pow((300 m - L) / 100 m, 1.5);"</f>
        <v/>
      </c>
      <c r="D38">
        <f>"else if (L &gt;  90 m  &amp;&amp; L &lt;  300 m) C_1 = 10.75 - Math.pow((300 m - L) / 100 m, 1.5);"</f>
        <v/>
      </c>
    </row>
    <row r="39">
      <c r="B39">
        <f>"else if (L &gt;= 300 m &amp;&amp; L &lt;  350 m) C_1 = 10.75;"</f>
        <v/>
      </c>
      <c r="C39">
        <f>"else if (L &gt;= 300 m &amp;&amp; L &lt;  350 m) C_1 = 10.75;"</f>
        <v/>
      </c>
      <c r="D39">
        <f>"else if (L &gt;= 300 m &amp;&amp; L &lt;  350 m) C_1 = 10.75;"</f>
        <v/>
      </c>
    </row>
    <row r="40">
      <c r="B40">
        <f>"else if (L &gt;= 350 m &amp;&amp; L &lt;= 500 m) C_1 = 10.75 - Math.pow((L - 350 m) / 150 m, 1.5);"</f>
        <v/>
      </c>
      <c r="C40">
        <f>"else if (L &gt;= 350 m &amp;&amp; L &lt;= 500 m) C_1 = 10.75 - Math.pow((L - 350 m) / 150 m, 1.5);"</f>
        <v/>
      </c>
      <c r="D40">
        <f>"else if (L &gt;= 350 m &amp;&amp; L &lt;= 500 m) C_1 = 10.75 - Math.pow((L - 350 m) / 150 m, 1.5);"</f>
        <v/>
      </c>
    </row>
    <row r="41">
      <c r="B41">
        <f>"else                               C_1 = 0;"</f>
        <v/>
      </c>
      <c r="C41">
        <f>"else                               C_1 = 0;"</f>
        <v/>
      </c>
      <c r="D41">
        <f>"else                               C_1 = 0;"</f>
        <v/>
      </c>
    </row>
    <row r="42">
      <c r="B42">
        <f>"var h_do = 1.36 * C_1 * 1 m;   // reference hydrodynamic head, k = 1 (5.5.1)"</f>
        <v/>
      </c>
      <c r="C42">
        <f>"var h_do = 1.36 * C_1 * 1 m;   // reference hydrodynamic head, k = 1 (5.5.1)"</f>
        <v/>
      </c>
      <c r="D42">
        <f>"var h_do = 1.36 * C_1 * 1 m;   // reference hydrodynamic head, k = 1 (5.5.1)"</f>
        <v/>
      </c>
    </row>
    <row r="43">
      <c r="B43">
        <f>"var z_bilge = r_b;   // rule z of the bilge (the bilge radius)"</f>
        <v/>
      </c>
      <c r="C43">
        <f>"var z_bilge = r_b;   // rule z of the bilge (the bilge radius)"</f>
        <v/>
      </c>
      <c r="D43">
        <f>"var z_bilge = r_b;   // rule z of the bilge (the bilge radius)"</f>
        <v/>
      </c>
    </row>
    <row r="44">
      <c r="B44">
        <f>"var z_freeboard = D - freeboard;   // rule z of the highest deck at side"</f>
        <v/>
      </c>
      <c r="C44">
        <f>"var z_freeboard = D - freeboard;   // rule z of the highest deck at side"</f>
        <v/>
      </c>
      <c r="D44">
        <f>"var z_freeboard = D - freeboard;   // rule z of the highest deck at side"</f>
        <v/>
      </c>
    </row>
    <row r="45">
      <c r="B45">
        <f>"var xL = x / L;   // x / L, dimensionless"</f>
        <v/>
      </c>
      <c r="C45">
        <f>"var xL = x / L;   // x / L, dimensionless"</f>
        <v/>
      </c>
      <c r="D45">
        <f>"var xL = x / L;   // x / L, dimensionless"</f>
        <v/>
      </c>
    </row>
    <row r="46">
      <c r="B46">
        <f>"var k_lo = 1;   // k_lo = 1.0 amidships"</f>
        <v/>
      </c>
      <c r="C46">
        <f>"var k_lo = 1;   // k_lo = 1.0 amidships"</f>
        <v/>
      </c>
      <c r="D46">
        <f>"var k_lo = 1;   // k_lo = 1.0 amidships"</f>
        <v/>
      </c>
    </row>
    <row r="47">
      <c r="B47">
        <f>"// Fig. 9: k_lo = 1 amidships, rising towards both ends"</f>
        <v/>
      </c>
      <c r="C47">
        <f>"// Fig. 9: k_lo = 1 amidships, rising towards both ends"</f>
        <v/>
      </c>
      <c r="D47">
        <f>"// Fig. 9: k_lo = 1 amidships, rising towards both ends"</f>
        <v/>
      </c>
    </row>
    <row r="48">
      <c r="B48">
        <f>"if      (xL &lt; 0.2) k_lo = 1.5 - xL * 2.5;"</f>
        <v/>
      </c>
      <c r="C48">
        <f>"if      (xL &lt; 0.2) k_lo = 1.5 - xL * 2.5;"</f>
        <v/>
      </c>
      <c r="D48">
        <f>"if      (xL &lt; 0.2) k_lo = 1.5 - xL * 2.5;"</f>
        <v/>
      </c>
    </row>
    <row r="49">
      <c r="B49">
        <f>"else if (xL &gt; 0.7) k_lo = 1 + (xL - 0.7) * 5;"</f>
        <v/>
      </c>
      <c r="C49">
        <f>"else if (xL &gt; 0.7) k_lo = 1 + (xL - 0.7) * 5;"</f>
        <v/>
      </c>
      <c r="D49">
        <f>"else if (xL &gt; 0.7) k_lo = 1 + (xL - 0.7) * 5;"</f>
        <v/>
      </c>
    </row>
    <row r="50">
      <c r="B50">
        <f>"else               k_lo = 1;"</f>
        <v/>
      </c>
      <c r="C50">
        <f>"else               k_lo = 1;"</f>
        <v/>
      </c>
      <c r="D50">
        <f>"else               k_lo = 1;"</f>
        <v/>
      </c>
    </row>
    <row r="51">
      <c r="B51">
        <f>"var k_l = 1 + (k_lo - 1) * Math.cos(u);   // k_l = 1 + (k_lo - 1) cos mu; GeniE converts the angle inside cos"</f>
        <v/>
      </c>
      <c r="C51">
        <f>"var k_l = 1 + (k_lo - 1) * Math.cos(u);   // k_l = 1 + (k_lo - 1) cos mu; GeniE converts the angle inside cos"</f>
        <v/>
      </c>
      <c r="D51">
        <f>"var k_l = 1 + (k_lo - 1) * Math.cos(u);   // k_l = 1 + (k_lo - 1) cos mu; GeniE converts the angle inside cos"</f>
        <v/>
      </c>
    </row>
    <row r="52">
      <c r="B52">
        <f>"var k_f = k_f0 * (1 - (1 - Math.cos((x - x_o) / L * 360 deg)) * Math.cos(u));   // k_f, the reference station against the wave"</f>
        <v/>
      </c>
      <c r="C52">
        <f>"var k_f = k_f0 * (1 - (1 - Math.cos((x - x_o) / L * 360 deg)) * Math.cos(u));   // k_f, the reference station against the wave"</f>
        <v/>
      </c>
      <c r="D52">
        <f>"var k_f = k_f0 * (1 - (1 - Math.cos((x - x_o) / L * 360 deg)) * Math.cos(u));   // k_f, the reference station against the wave"</f>
        <v/>
      </c>
    </row>
    <row r="53">
      <c r="B53">
        <f>"var alpha_1 = (1 - 0.25 * Math.cos(u)) * k_f;   // i = 1, at the waterline, starboard"</f>
        <v/>
      </c>
      <c r="C53">
        <f>"var alpha_1 = (1 - 0.25 * Math.cos(u)) * k_f;   // i = 1, at the waterline, starboard"</f>
        <v/>
      </c>
      <c r="D53">
        <f>"var alpha_1 = (1 - 0.25 * Math.cos(u)) * k_f;   // i = 1, at the waterline, starboard"</f>
        <v/>
      </c>
    </row>
    <row r="54">
      <c r="B54">
        <f>"var alpha_2 = (0.40 - 0.10 * Math.cos(u)) * k_f;   // i = 2, at the bilge, starboard"</f>
        <v/>
      </c>
      <c r="C54">
        <f>"var alpha_2 = (0.40 - 0.10 * Math.cos(u)) * k_f;   // i = 2, at the bilge, starboard"</f>
        <v/>
      </c>
      <c r="D54">
        <f>"var alpha_2 = (0.40 - 0.10 * Math.cos(u)) * k_f;   // i = 2, at the bilge, starboard"</f>
        <v/>
      </c>
    </row>
    <row r="55">
      <c r="B55">
        <f>"var alpha_3 = (0.30 - 0.20 * Math.sin(u)) * k_f;   // i = 3, at the bottom centre line"</f>
        <v/>
      </c>
      <c r="C55">
        <f>"var alpha_3 = (0.30 - 0.20 * Math.sin(u)) * k_f;   // i = 3, at the bottom centre line"</f>
        <v/>
      </c>
      <c r="D55">
        <f>"var alpha_3 = (0.30 - 0.20 * Math.sin(u)) * k_f;   // i = 3, at the bottom centre line"</f>
        <v/>
      </c>
    </row>
    <row r="56">
      <c r="B56">
        <f>"var alpha_5 = (0.75 - 1.25 * Math.sin(u)) * k_f;   // i = 5, at the waterline, port"</f>
        <v/>
      </c>
      <c r="C56">
        <f>"var alpha_5 = (0.75 - 1.25 * Math.sin(u)) * k_f;   // i = 5, at the waterline, port"</f>
        <v/>
      </c>
      <c r="D56">
        <f>"var alpha_5 = (0.75 - 1.25 * Math.sin(u)) * k_f;   // i = 5, at the waterline, port"</f>
        <v/>
      </c>
    </row>
    <row r="57">
      <c r="B57">
        <f>"var alpha_4 = 2 * alpha_3 - alpha_2;   // i = 4 = 2 alpha_3 - alpha_2, at the bilge, port"</f>
        <v/>
      </c>
      <c r="C57">
        <f>"var alpha_4 = 2 * alpha_3 - alpha_2;   // i = 4 = 2 alpha_3 - alpha_2, at the bilge, port"</f>
        <v/>
      </c>
      <c r="D57">
        <f>"var alpha_4 = 2 * alpha_3 - alpha_2;   // i = 4 = 2 alpha_3 - alpha_2, at the bilge, port"</f>
        <v/>
      </c>
    </row>
    <row r="58">
      <c r="B58">
        <f>"var h_d1 = k_l * alpha_1 * h_do;   // hydrodynamic head at i = 1"</f>
        <v/>
      </c>
      <c r="C58">
        <f>"var h_d1 = k_l * alpha_1 * h_do;   // hydrodynamic head at i = 1"</f>
        <v/>
      </c>
      <c r="D58">
        <f>"var h_d1 = k_l * alpha_1 * h_do;   // hydrodynamic head at i = 1"</f>
        <v/>
      </c>
    </row>
    <row r="59">
      <c r="B59">
        <f>"var h_d5 = k_l * alpha_5 * h_do;   // hydrodynamic head at i = 5"</f>
        <v/>
      </c>
      <c r="C59">
        <f>"var h_d5 = k_l * alpha_5 * h_do;   // hydrodynamic head at i = 5"</f>
        <v/>
      </c>
      <c r="D59">
        <f>"var h_d5 = k_l * alpha_5 * h_do;   // hydrodynamic head at i = 5"</f>
        <v/>
      </c>
    </row>
    <row r="60">
      <c r="B60">
        <f>"var h_star_s = Math.min(z_freeboard - draft, k_u * h_d1);   // Fig. 10: the head above the waterline, capped at the freeboard, starboard"</f>
        <v/>
      </c>
      <c r="C60">
        <f>"var h_star_s = Math.min(z_freeboard - draft, k_u * h_d1);   // Fig. 10: the head above the waterline, capped at the freeboard, starboard"</f>
        <v/>
      </c>
      <c r="D60">
        <f>"var h_star_s = Math.min(z_freeboard - draft, k_u * h_d1);   // Fig. 10: the head above the waterline, capped at the freeboard, starboard"</f>
        <v/>
      </c>
    </row>
    <row r="61">
      <c r="B61">
        <f>"var h_star_p = Math.min(z_freeboard - draft, k_u * h_d5);   // Fig. 10: the head above the waterline, capped at the freeboard, port"</f>
        <v/>
      </c>
      <c r="C61">
        <f>"var h_star_p = Math.min(z_freeboard - draft, k_u * h_d5);   // Fig. 10: the head above the waterline, capped at the freeboard, port"</f>
        <v/>
      </c>
      <c r="D61">
        <f>"var h_star_p = Math.min(z_freeboard - draft, k_u * h_d5);   // Fig. 10: the head above the waterline, capped at the freeboard, port"</f>
        <v/>
      </c>
    </row>
    <row r="62">
      <c r="B62">
        <f>"var alpha_i = 0;   // alpha at the point evaluated, assigned by the girth branches"</f>
        <v/>
      </c>
      <c r="C62">
        <f>"var alpha_i = 0;   // alpha at the point evaluated, assigned by the girth branches"</f>
        <v/>
      </c>
      <c r="D62">
        <f>"var alpha_i = 0;   // alpha at the point evaluated, assigned by the girth branches"</f>
        <v/>
      </c>
    </row>
    <row r="63">
      <c r="B63">
        <f>"// Fig. 8: alpha at the point evaluated"</f>
        <v/>
      </c>
      <c r="C63">
        <f>"// Fig. 8: alpha at the point evaluated"</f>
        <v/>
      </c>
      <c r="D63">
        <f>"// Fig. 8: alpha at the point evaluated"</f>
        <v/>
      </c>
    </row>
    <row r="64">
      <c r="B64">
        <f>"if (z &gt;= z_bilge) {"</f>
        <v/>
      </c>
      <c r="C64">
        <f>"if (z &gt;= z_bilge) {"</f>
        <v/>
      </c>
      <c r="D64">
        <f>"if (z &gt;= z_bilge) {"</f>
        <v/>
      </c>
    </row>
    <row r="65">
      <c r="B65">
        <f>"    if (z &lt;= draft) {"</f>
        <v/>
      </c>
      <c r="C65">
        <f>"    if (z &lt;= draft) {"</f>
        <v/>
      </c>
      <c r="D65">
        <f>"    if (z &lt;= draft) {"</f>
        <v/>
      </c>
    </row>
    <row r="66">
      <c r="B66">
        <f>"        // bilge to waterline, on the side of the girth the point is on"</f>
        <v/>
      </c>
      <c r="C66">
        <f>"        // bilge to waterline, on the side of the girth the point is on"</f>
        <v/>
      </c>
      <c r="D66">
        <f>"        // bilge to waterline, on the side of the girth the point is on"</f>
        <v/>
      </c>
    </row>
    <row r="67">
      <c r="B67">
        <f>"        if (y &gt;= 0 m) alpha_i = alpha_2 + (alpha_1 - alpha_2) * (z - z_bilge) / (draft - z_bilge);"</f>
        <v/>
      </c>
      <c r="C67">
        <f>"        if (y &gt;= 0 m) alpha_i = alpha_2 + (alpha_1 - alpha_2) * (z - z_bilge) / (draft - z_bilge);"</f>
        <v/>
      </c>
      <c r="D67">
        <f>"        if (y &gt;= 0 m) alpha_i = alpha_2 + (alpha_1 - alpha_2) * (z - z_bilge) / (draft - z_bilge);"</f>
        <v/>
      </c>
    </row>
    <row r="68">
      <c r="B68">
        <f>"        else          alpha_i = alpha_4 + (alpha_5 - alpha_4) * (z - z_bilge) / (draft - z_bilge);"</f>
        <v/>
      </c>
      <c r="C68">
        <f>"        else          alpha_i = alpha_4 + (alpha_5 - alpha_4) * (z - z_bilge) / (draft - z_bilge);"</f>
        <v/>
      </c>
      <c r="D68">
        <f>"        else          alpha_i = alpha_4 + (alpha_5 - alpha_4) * (z - z_bilge) / (draft - z_bilge);"</f>
        <v/>
      </c>
    </row>
    <row r="69">
      <c r="B69">
        <f>"    } else {"</f>
        <v/>
      </c>
      <c r="C69">
        <f>"    } else {"</f>
        <v/>
      </c>
      <c r="D69">
        <f>"    } else {"</f>
        <v/>
      </c>
    </row>
    <row r="70">
      <c r="B70">
        <f>"        // above the waterline, faded out over that side's h_star"</f>
        <v/>
      </c>
      <c r="C70">
        <f>"        // above the waterline, faded out over that side's h_star"</f>
        <v/>
      </c>
      <c r="D70">
        <f>"        // above the waterline, faded out over that side's h_star"</f>
        <v/>
      </c>
    </row>
    <row r="71">
      <c r="B71">
        <f>"        if (y &gt;= 0 m) {"</f>
        <v/>
      </c>
      <c r="C71">
        <f>"        if (y &gt;= 0 m) {"</f>
        <v/>
      </c>
      <c r="D71">
        <f>"        if (y &gt;= 0 m) {"</f>
        <v/>
      </c>
    </row>
    <row r="72">
      <c r="B72">
        <f>"            if (h_star_s &lt;= 0 m) alpha_i = 0;"</f>
        <v/>
      </c>
      <c r="C72">
        <f>"            if (h_star_s &lt;= 0 m) alpha_i = 0;"</f>
        <v/>
      </c>
      <c r="D72">
        <f>"            if (h_star_s &lt;= 0 m) alpha_i = 0;"</f>
        <v/>
      </c>
    </row>
    <row r="73">
      <c r="B73">
        <f>"            else                 alpha_i = alpha_1 - (z - draft) / h_star_s * alpha_1;"</f>
        <v/>
      </c>
      <c r="C73">
        <f>"            else                 alpha_i = alpha_1 - (z - draft) / h_star_s * alpha_1;"</f>
        <v/>
      </c>
      <c r="D73">
        <f>"            else                 alpha_i = alpha_1 - (z - draft) / h_star_s * alpha_1;"</f>
        <v/>
      </c>
    </row>
    <row r="74">
      <c r="B74">
        <f>"        } else {"</f>
        <v/>
      </c>
      <c r="C74">
        <f>"        } else {"</f>
        <v/>
      </c>
      <c r="D74">
        <f>"        } else {"</f>
        <v/>
      </c>
    </row>
    <row r="75">
      <c r="B75">
        <f>"            if (h_star_p &lt;= 0 m) alpha_i = 0;"</f>
        <v/>
      </c>
      <c r="C75">
        <f>"            if (h_star_p &lt;= 0 m) alpha_i = 0;"</f>
        <v/>
      </c>
      <c r="D75">
        <f>"            if (h_star_p &lt;= 0 m) alpha_i = 0;"</f>
        <v/>
      </c>
    </row>
    <row r="76">
      <c r="B76">
        <f>"            else                 alpha_i = alpha_5 - (z - draft) / h_star_p * alpha_5;"</f>
        <v/>
      </c>
      <c r="C76">
        <f>"            else                 alpha_i = alpha_5 - (z - draft) / h_star_p * alpha_5;"</f>
        <v/>
      </c>
      <c r="D76">
        <f>"            else                 alpha_i = alpha_5 - (z - draft) / h_star_p * alpha_5;"</f>
        <v/>
      </c>
    </row>
    <row r="77">
      <c r="B77">
        <f>"        }"</f>
        <v/>
      </c>
      <c r="C77">
        <f>"        }"</f>
        <v/>
      </c>
      <c r="D77">
        <f>"        }"</f>
        <v/>
      </c>
    </row>
    <row r="78">
      <c r="B78">
        <f>"    }"</f>
        <v/>
      </c>
      <c r="C78">
        <f>"    }"</f>
        <v/>
      </c>
      <c r="D78">
        <f>"    }"</f>
        <v/>
      </c>
    </row>
    <row r="79">
      <c r="B79">
        <f>"} else {"</f>
        <v/>
      </c>
      <c r="C79">
        <f>"} else {"</f>
        <v/>
      </c>
      <c r="D79">
        <f>"} else {"</f>
        <v/>
      </c>
    </row>
    <row r="80">
      <c r="B80">
        <f>"    // below the bilge: linear across the flat of bottom"</f>
        <v/>
      </c>
      <c r="C80">
        <f>"    // below the bilge: linear across the flat of bottom"</f>
        <v/>
      </c>
      <c r="D80">
        <f>"    // below the bilge: linear across the flat of bottom"</f>
        <v/>
      </c>
    </row>
    <row r="81">
      <c r="B81">
        <f>"    alpha_i = alpha_4 + (alpha_2 - alpha_4) * (z + z_bilge) / (2 * z_bilge);"</f>
        <v/>
      </c>
      <c r="C81">
        <f>"    alpha_i = alpha_4 + (alpha_2 - alpha_4) * (z + z_bilge) / (2 * z_bilge);"</f>
        <v/>
      </c>
      <c r="D81">
        <f>"    alpha_i = alpha_4 + (alpha_2 - alpha_4) * (z + z_bilge) / (2 * z_bilge);"</f>
        <v/>
      </c>
    </row>
    <row r="82">
      <c r="B82">
        <f>"}"</f>
        <v/>
      </c>
      <c r="C82">
        <f>"}"</f>
        <v/>
      </c>
      <c r="D82">
        <f>"}"</f>
        <v/>
      </c>
    </row>
    <row r="83">
      <c r="B83">
        <f>"// 5.5.1: which side of the girth, and so which ESF"</f>
        <v/>
      </c>
      <c r="C83">
        <f>"// 5.5.1: which side of the girth, and so which ESF"</f>
        <v/>
      </c>
      <c r="D83">
        <f>"// 5.5.1: which side of the girth, and so which ESF"</f>
        <v/>
      </c>
    </row>
    <row r="84">
      <c r="B84">
        <f>"// the ESF is a property of the SIDE the point is on: EPS to starboard, EPP to port"</f>
        <v/>
      </c>
      <c r="C84">
        <f>"// the ESF is a property of the SIDE the point is on: EPS to starboard, EPP to port"</f>
        <v/>
      </c>
      <c r="D84">
        <f>"// the ESF is a property of the SIDE the point is on: EPS to starboard, EPP to port"</f>
        <v/>
      </c>
    </row>
    <row r="85">
      <c r="B85">
        <f>"var ESF_side = 0;"</f>
        <v/>
      </c>
      <c r="C85">
        <f>"var ESF_side = 0;"</f>
        <v/>
      </c>
      <c r="D85">
        <f>"var ESF_side = 0;"</f>
        <v/>
      </c>
    </row>
    <row r="86">
      <c r="B86">
        <f>"if (y &gt;= 0 m) ESF_side = beta_EPS * k_esf;"</f>
        <v/>
      </c>
      <c r="C86">
        <f>"if (y &gt;= 0 m) ESF_side = beta_EPS * k_esf;"</f>
        <v/>
      </c>
      <c r="D86">
        <f>"if (y &gt;= 0 m) ESF_side = beta_EPS * k_esf;"</f>
        <v/>
      </c>
    </row>
    <row r="87">
      <c r="B87">
        <f>"else          ESF_side = beta_EPP * k_esf;"</f>
        <v/>
      </c>
      <c r="C87">
        <f>"else          ESF_side = beta_EPP * k_esf;"</f>
        <v/>
      </c>
      <c r="D87">
        <f>"else          ESF_side = beta_EPP * k_esf;"</f>
        <v/>
      </c>
    </row>
    <row r="88">
      <c r="B88">
        <f>"var h_di = k_l * alpha_i * h_do;   // hydrodynamic head at the point evaluated (5.5.1)"</f>
        <v/>
      </c>
      <c r="C88">
        <f>"var h_di = k_l * alpha_i * h_do;   // hydrodynamic head at the point evaluated (5.5.1)"</f>
        <v/>
      </c>
      <c r="D88">
        <f>"var h_di = k_l * alpha_i * h_do;   // hydrodynamic head at the point evaluated (5.5.1)"</f>
        <v/>
      </c>
    </row>
    <row r="89">
      <c r="B89">
        <f>"var h_de = k_c * h_di;   // h_de = k_c h_di (5.5.1 nominal form)"</f>
        <v/>
      </c>
      <c r="C89">
        <f>"var h_de = k_c * h_di;   // h_de = k_c h_di (5.5.1 nominal form)"</f>
        <v/>
      </c>
      <c r="D89">
        <f>"var h_de = k_c * h_di;   // h_de = k_c h_di (5.5.1 nominal form)"</f>
        <v/>
      </c>
    </row>
    <row r="90">
      <c r="B90">
        <f>"var p_s = Math.max(rho_sea * g * (draft - z), 0 Pa);   // still-water pressure, zero above the waterline"</f>
        <v/>
      </c>
      <c r="C90">
        <f>"var p_s = Math.max(rho_sea * g * (draft - z), 0 Pa);   // still-water pressure, zero above the waterline"</f>
        <v/>
      </c>
      <c r="D90">
        <f>"var p_s = Math.max(rho_sea * g * (draft - z), 0 Pa);   // still-water pressure, zero above the waterline"</f>
        <v/>
      </c>
    </row>
    <row r="91">
      <c r="B91">
        <f>"var p_d = rho_sea * g * ESF_side * k_u * h_de;   // hydrodynamic pressure, with the ESF of the side the point is on"</f>
        <v/>
      </c>
      <c r="C91">
        <f>"var p_d = rho_sea * g * ESF_side * k_u * h_de;   // hydrodynamic pressure, with the ESF of the side the point is on"</f>
        <v/>
      </c>
      <c r="D91">
        <f>"var p_d = rho_sea * g * ESF_side * k_u * h_de;   // hydrodynamic pressure, with the ESF of the side the point is on"</f>
        <v/>
      </c>
    </row>
    <row r="92">
      <c r="B92">
        <f>"return Math.max(p_s + p_d, 0 Pa);   // the pressure the function returns"</f>
        <v/>
      </c>
      <c r="C92">
        <f>"return Math.max(p_s + p_d, 0 Pa);   // the pressure the function returns"</f>
        <v/>
      </c>
      <c r="D92">
        <f>"return Math.max(p_s + p_d, 0 Pa);   // the pressure the function returns"</f>
        <v/>
      </c>
    </row>
    <row r="93"/>
    <row r="94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X6"/>
  <sheetViews>
    <sheetView workbookViewId="0">
      <selection activeCell="A1" sqref="A1"/>
    </sheetView>
  </sheetViews>
  <sheetFormatPr baseColWidth="8" defaultRowHeight="15"/>
  <cols>
    <col width="20" customWidth="1" min="2" max="2"/>
    <col width="24" customWidth="1" min="3" max="3"/>
    <col width="63" customWidth="1" min="4" max="4"/>
    <col width="160" customWidth="1" min="5" max="5"/>
    <col width="160" customWidth="1" min="6" max="6"/>
    <col width="160" customWidth="1" min="7" max="7"/>
    <col width="160" customWidth="1" min="8" max="8"/>
    <col width="160" customWidth="1" min="9" max="9"/>
    <col width="160" customWidth="1" min="10" max="10"/>
    <col width="160" customWidth="1" min="11" max="11"/>
    <col width="160" customWidth="1" min="12" max="12"/>
    <col width="160" customWidth="1" min="13" max="13"/>
    <col width="160" customWidth="1" min="14" max="14"/>
    <col width="160" customWidth="1" min="15" max="15"/>
    <col width="160" customWidth="1" min="16" max="16"/>
    <col width="160" customWidth="1" min="17" max="17"/>
    <col width="160" customWidth="1" min="18" max="18"/>
    <col width="160" customWidth="1" min="19" max="19"/>
    <col width="160" customWidth="1" min="20" max="20"/>
    <col width="160" customWidth="1" min="21" max="21"/>
    <col width="160" customWidth="1" min="22" max="22"/>
    <col width="160" customWidth="1" min="23" max="23"/>
    <col width="160" customWidth="1" min="24" max="24"/>
  </cols>
  <sheetData>
    <row r="2">
      <c r="A2" s="19" t="inlineStr">
        <is>
          <t>EXT-T20.559-mu90-kf+1</t>
        </is>
      </c>
      <c r="B2">
        <f>"| 项目 | 值 | 出处 |"</f>
        <v/>
      </c>
      <c r="C2">
        <f>"| --- | --- | --- |"</f>
        <v/>
      </c>
      <c r="D2">
        <f>"| case_name | "&amp;'Local Parameter'!$E$1&amp;" | 工况名（Excel 表头） |"</f>
        <v/>
      </c>
      <c r="E2">
        <f>"| kind | "&amp;IF(ISBLANK(INDEX('Local Parameter'!$C:$C,MATCH("kind",'Local Parameter'!$A:$A,0))),"",INDEX('Local Parameter'!$C:$C,MATCH("kind",'Local Parameter'!$A:$A,0)))&amp;IF(ISBLANK(INDEX('Local Parameter'!$E:$E,MATCH("kind",'Local Parameter'!$A:$A,0))),"EXT",IF(INDEX('Local Parameter'!$E:$E,MATCH("kind",'Local Parameter'!$A:$A,0))="","EXT",INDEX('Local Parameter'!$E:$E,MATCH("kind",'Local Parameter'!$A:$A,0))))&amp;IF(ISBLANK(INDEX('Local Parameter'!$D:$D,MATCH("kind",'Local Parameter'!$A:$A,0))),"",INDEX('Local Parameter'!$D:$D,MATCH("kind",'Local Parameter'!$A:$A,0)))&amp;" | 规则集（多规则集共用一本工作簿时用 case_filter 分流） |"</f>
        <v/>
      </c>
      <c r="F2">
        <f>"| draft | "&amp;IF(ISBLANK(INDEX('Local Parameter'!$C:$C,MATCH("draft",'Local Parameter'!$A:$A,0))),"",INDEX('Local Parameter'!$C:$C,MATCH("draft",'Local Parameter'!$A:$A,0)))&amp;IF(ISBLANK(INDEX('Local Parameter'!$E:$E,MATCH("draft",'Local Parameter'!$A:$A,0))),20.559,IF(INDEX('Local Parameter'!$E:$E,MATCH("draft",'Local Parameter'!$A:$A,0))="",20.559,INDEX('Local Parameter'!$E:$E,MATCH("draft",'Local Parameter'!$A:$A,0))))&amp;IF(ISBLANK(INDEX('Local Parameter'!$D:$D,MATCH("draft",'Local Parameter'!$A:$A,0)))," m",IF(INDEX('Local Parameter'!$D:$D,MATCH("draft",'Local Parameter'!$A:$A,0))=""," m",INDEX('Local Parameter'!$D:$D,MATCH("draft",'Local Parameter'!$A:$A,0))))&amp;" | 装载工况 |"</f>
        <v/>
      </c>
      <c r="G2">
        <f>"| mu_deg | "&amp;IF(ISBLANK(INDEX('Local Parameter'!$C:$C,MATCH("mu_deg",'Local Parameter'!$A:$A,0))),"",INDEX('Local Parameter'!$C:$C,MATCH("mu_deg",'Local Parameter'!$A:$A,0)))&amp;IF(ISBLANK(INDEX('Local Parameter'!$E:$E,MATCH("mu_deg",'Local Parameter'!$A:$A,0))),90,IF(INDEX('Local Parameter'!$E:$E,MATCH("mu_deg",'Local Parameter'!$A:$A,0))="",90,INDEX('Local Parameter'!$E:$E,MATCH("mu_deg",'Local Parameter'!$A:$A,0))))&amp;IF(ISBLANK(INDEX('Local Parameter'!$D:$D,MATCH("mu_deg",'Local Parameter'!$A:$A,0)))," deg",IF(INDEX('Local Parameter'!$D:$D,MATCH("mu_deg",'Local Parameter'!$A:$A,0))=""," deg",INDEX('Local Parameter'!$D:$D,MATCH("mu_deg",'Local Parameter'!$A:$A,0))))&amp;" | Table 1A D |"</f>
        <v/>
      </c>
      <c r="H2">
        <f>"| k_c | "&amp;IF(ISBLANK(INDEX('Local Parameter'!$C:$C,MATCH("k_c",'Local Parameter'!$A:$A,0))),"",INDEX('Local Parameter'!$C:$C,MATCH("k_c",'Local Parameter'!$A:$A,0)))&amp;IF(ISBLANK(INDEX('Local Parameter'!$E:$E,MATCH("k_c",'Local Parameter'!$A:$A,0))),1,IF(INDEX('Local Parameter'!$E:$E,MATCH("k_c",'Local Parameter'!$A:$A,0))="",1,INDEX('Local Parameter'!$E:$E,MATCH("k_c",'Local Parameter'!$A:$A,0))))&amp;IF(ISBLANK(INDEX('Local Parameter'!$D:$D,MATCH("k_c",'Local Parameter'!$A:$A,0))),"",INDEX('Local Parameter'!$D:$D,MATCH("k_c",'Local Parameter'!$A:$A,0)))&amp;" | Table 1A B |"</f>
        <v/>
      </c>
      <c r="I2">
        <f>"| k_f0 | "&amp;IF(ISBLANK(INDEX('Local Parameter'!$C:$C,MATCH("k_f0",'Local Parameter'!$A:$A,0))),"",INDEX('Local Parameter'!$C:$C,MATCH("k_f0",'Local Parameter'!$A:$A,0)))&amp;IF(ISBLANK(INDEX('Local Parameter'!$E:$E,MATCH("k_f0",'Local Parameter'!$A:$A,0))),1,IF(INDEX('Local Parameter'!$E:$E,MATCH("k_f0",'Local Parameter'!$A:$A,0))="",1,INDEX('Local Parameter'!$E:$E,MATCH("k_f0",'Local Parameter'!$A:$A,0))))&amp;IF(ISBLANK(INDEX('Local Parameter'!$D:$D,MATCH("k_f0",'Local Parameter'!$A:$A,0))),"",INDEX('Local Parameter'!$D:$D,MATCH("k_f0",'Local Parameter'!$A:$A,0)))&amp;" | Table 1A B |"</f>
        <v/>
      </c>
      <c r="J2">
        <f>"| k_u | "&amp;IF(ISBLANK(INDEX('Local Parameter'!$C:$C,MATCH("k_u",'Local Parameter'!$A:$A,0))),"",INDEX('Local Parameter'!$C:$C,MATCH("k_u",'Local Parameter'!$A:$A,0)))&amp;IF(ISBLANK(INDEX('Local Parameter'!$E:$E,MATCH("k_u",'Local Parameter'!$A:$A,0))),1.1,IF(INDEX('Local Parameter'!$E:$E,MATCH("k_u",'Local Parameter'!$A:$A,0))="",1.1,INDEX('Local Parameter'!$E:$E,MATCH("k_u",'Local Parameter'!$A:$A,0))))&amp;IF(ISBLANK(INDEX('Local Parameter'!$D:$D,MATCH("k_u",'Local Parameter'!$A:$A,0))),"",INDEX('Local Parameter'!$D:$D,MATCH("k_u",'Local Parameter'!$A:$A,0)))&amp;" | 5A-3-2/7, /9 |"</f>
        <v/>
      </c>
      <c r="K2">
        <f>"| beta_EPS | "&amp;IF(ISBLANK(INDEX('Local Parameter'!$C:$C,MATCH("beta_EPS",'Local Parameter'!$A:$A,0))),"",INDEX('Local Parameter'!$C:$C,MATCH("beta_EPS",'Local Parameter'!$A:$A,0)))&amp;IF(ISBLANK(INDEX('Local Parameter'!$E:$E,MATCH("beta_EPS",'Local Parameter'!$A:$A,0))),0.733,IF(INDEX('Local Parameter'!$E:$E,MATCH("beta_EPS",'Local Parameter'!$A:$A,0))="",0.733,INDEX('Local Parameter'!$E:$E,MATCH("beta_EPS",'Local Parameter'!$A:$A,0))))&amp;IF(ISBLANK(INDEX('Local Parameter'!$D:$D,MATCH("beta_EPS",'Local Parameter'!$A:$A,0))),"",INDEX('Local Parameter'!$D:$D,MATCH("beta_EPS",'Local Parameter'!$A:$A,0)))&amp;" | 5A-3-A1/3 |"</f>
        <v/>
      </c>
      <c r="L2">
        <f>"| beta_EPP | "&amp;IF(ISBLANK(INDEX('Local Parameter'!$C:$C,MATCH("beta_EPP",'Local Parameter'!$A:$A,0))),"",INDEX('Local Parameter'!$C:$C,MATCH("beta_EPP",'Local Parameter'!$A:$A,0)))&amp;IF(ISBLANK(INDEX('Local Parameter'!$E:$E,MATCH("beta_EPP",'Local Parameter'!$A:$A,0))),0.733,IF(INDEX('Local Parameter'!$E:$E,MATCH("beta_EPP",'Local Parameter'!$A:$A,0))="",0.733,INDEX('Local Parameter'!$E:$E,MATCH("beta_EPP",'Local Parameter'!$A:$A,0))))&amp;IF(ISBLANK(INDEX('Local Parameter'!$D:$D,MATCH("beta_EPP",'Local Parameter'!$A:$A,0))),"",INDEX('Local Parameter'!$D:$D,MATCH("beta_EPP",'Local Parameter'!$A:$A,0)))&amp;" | 5A-3-A1/3 |"</f>
        <v/>
      </c>
      <c r="M2">
        <f>"| k_esf | "&amp;IF(ISBLANK(INDEX('Local Parameter'!$C:$C,MATCH("k_esf",'Local Parameter'!$A:$A,0))),"",INDEX('Local Parameter'!$C:$C,MATCH("k_esf",'Local Parameter'!$A:$A,0)))&amp;IF(ISBLANK(INDEX('Local Parameter'!$E:$E,MATCH("k_esf",'Local Parameter'!$A:$A,0))),1.1,IF(INDEX('Local Parameter'!$E:$E,MATCH("k_esf",'Local Parameter'!$A:$A,0))="",1.1,INDEX('Local Parameter'!$E:$E,MATCH("k_esf",'Local Parameter'!$A:$A,0))))&amp;IF(ISBLANK(INDEX('Local Parameter'!$D:$D,MATCH("k_esf",'Local Parameter'!$A:$A,0))),"",INDEX('Local Parameter'!$D:$D,MATCH("k_esf",'Local Parameter'!$A:$A,0)))&amp;" | 项目 |"</f>
        <v/>
      </c>
      <c r="N2">
        <f>"| x_o | "&amp;IF(ISBLANK(INDEX('Local Parameter'!$C:$C,MATCH("x_o",'Local Parameter'!$A:$A,0))),"",INDEX('Local Parameter'!$C:$C,MATCH("x_o",'Local Parameter'!$A:$A,0)))&amp;IF(ISBLANK(INDEX('Local Parameter'!$E:$E,MATCH("x_o",'Local Parameter'!$A:$A,0))),51,IF(INDEX('Local Parameter'!$E:$E,MATCH("x_o",'Local Parameter'!$A:$A,0))="",51,INDEX('Local Parameter'!$E:$E,MATCH("x_o",'Local Parameter'!$A:$A,0))))&amp;IF(ISBLANK(INDEX('Local Parameter'!$D:$D,MATCH("x_o",'Local Parameter'!$A:$A,0)))," m",IF(INDEX('Local Parameter'!$D:$D,MATCH("x_o",'Local Parameter'!$A:$A,0))=""," m",INDEX('Local Parameter'!$D:$D,MATCH("x_o",'Local Parameter'!$A:$A,0))))&amp;" | Fig. 9 脚注 |"</f>
        <v/>
      </c>
      <c r="O2">
        <f>"| L | "&amp;IF(ISBLANK(INDEX('Global Parameter'!$D:$D,MATCH("L",'Global Parameter'!$A:$A,0))),"",INDEX('Global Parameter'!$D:$D,MATCH("L",'Global Parameter'!$A:$A,0)))&amp;IF(ISBLANK(INDEX('Global Parameter'!$B:$B,MATCH("L",'Global Parameter'!$A:$A,0))),340,IF(INDEX('Global Parameter'!$B:$B,MATCH("L",'Global Parameter'!$A:$A,0))="",340,INDEX('Global Parameter'!$B:$B,MATCH("L",'Global Parameter'!$A:$A,0))))&amp;IF(ISBLANK(INDEX('Global Parameter'!$E:$E,MATCH("L",'Global Parameter'!$A:$A,0)))," m",IF(INDEX('Global Parameter'!$E:$E,MATCH("L",'Global Parameter'!$A:$A,0))=""," m",INDEX('Global Parameter'!$E:$E,MATCH("L",'Global Parameter'!$A:$A,0))))&amp;" | 3-1-1/3 |"</f>
        <v/>
      </c>
      <c r="P2">
        <f>"| B | "&amp;IF(ISBLANK(INDEX('Global Parameter'!$D:$D,MATCH("B",'Global Parameter'!$A:$A,0))),"",INDEX('Global Parameter'!$D:$D,MATCH("B",'Global Parameter'!$A:$A,0)))&amp;IF(ISBLANK(INDEX('Global Parameter'!$B:$B,MATCH("B",'Global Parameter'!$A:$A,0))),64,IF(INDEX('Global Parameter'!$B:$B,MATCH("B",'Global Parameter'!$A:$A,0))="",64,INDEX('Global Parameter'!$B:$B,MATCH("B",'Global Parameter'!$A:$A,0))))&amp;IF(ISBLANK(INDEX('Global Parameter'!$E:$E,MATCH("B",'Global Parameter'!$A:$A,0)))," m",IF(INDEX('Global Parameter'!$E:$E,MATCH("B",'Global Parameter'!$A:$A,0))=""," m",INDEX('Global Parameter'!$E:$E,MATCH("B",'Global Parameter'!$A:$A,0))))&amp;" | 3-1-1/3 |"</f>
        <v/>
      </c>
      <c r="Q2">
        <f>"| D | "&amp;IF(ISBLANK(INDEX('Global Parameter'!$D:$D,MATCH("D",'Global Parameter'!$A:$A,0))),"",INDEX('Global Parameter'!$D:$D,MATCH("D",'Global Parameter'!$A:$A,0)))&amp;IF(ISBLANK(INDEX('Global Parameter'!$B:$B,MATCH("D",'Global Parameter'!$A:$A,0))),32,IF(INDEX('Global Parameter'!$B:$B,MATCH("D",'Global Parameter'!$A:$A,0))="",32,INDEX('Global Parameter'!$B:$B,MATCH("D",'Global Parameter'!$A:$A,0))))&amp;IF(ISBLANK(INDEX('Global Parameter'!$E:$E,MATCH("D",'Global Parameter'!$A:$A,0)))," m",IF(INDEX('Global Parameter'!$E:$E,MATCH("D",'Global Parameter'!$A:$A,0))=""," m",INDEX('Global Parameter'!$E:$E,MATCH("D",'Global Parameter'!$A:$A,0))))&amp;" | 3-1-1/3 |"</f>
        <v/>
      </c>
      <c r="R2">
        <f>"| r_b | "&amp;IF(ISBLANK(INDEX('Global Parameter'!$D:$D,MATCH("r_b",'Global Parameter'!$A:$A,0))),"",INDEX('Global Parameter'!$D:$D,MATCH("r_b",'Global Parameter'!$A:$A,0)))&amp;IF(ISBLANK(INDEX('Global Parameter'!$B:$B,MATCH("r_b",'Global Parameter'!$A:$A,0))),0.703,IF(INDEX('Global Parameter'!$B:$B,MATCH("r_b",'Global Parameter'!$A:$A,0))="",0.703,INDEX('Global Parameter'!$B:$B,MATCH("r_b",'Global Parameter'!$A:$A,0))))&amp;IF(ISBLANK(INDEX('Global Parameter'!$E:$E,MATCH("r_b",'Global Parameter'!$A:$A,0)))," m",IF(INDEX('Global Parameter'!$E:$E,MATCH("r_b",'Global Parameter'!$A:$A,0))=""," m",INDEX('Global Parameter'!$E:$E,MATCH("r_b",'Global Parameter'!$A:$A,0))))&amp;" | Fig. 11 |"</f>
        <v/>
      </c>
      <c r="S2">
        <f>"| freeboard | "&amp;IF(ISBLANK(INDEX('Global Parameter'!$D:$D,MATCH("freeboard",'Global Parameter'!$A:$A,0))),"",INDEX('Global Parameter'!$D:$D,MATCH("freeboard",'Global Parameter'!$A:$A,0)))&amp;IF(ISBLANK(INDEX('Global Parameter'!$B:$B,MATCH("freeboard",'Global Parameter'!$A:$A,0))),0.5,IF(INDEX('Global Parameter'!$B:$B,MATCH("freeboard",'Global Parameter'!$A:$A,0))="",0.5,INDEX('Global Parameter'!$B:$B,MATCH("freeboard",'Global Parameter'!$A:$A,0))))&amp;IF(ISBLANK(INDEX('Global Parameter'!$E:$E,MATCH("freeboard",'Global Parameter'!$A:$A,0)))," m",IF(INDEX('Global Parameter'!$E:$E,MATCH("freeboard",'Global Parameter'!$A:$A,0))=""," m",INDEX('Global Parameter'!$E:$E,MATCH("freeboard",'Global Parameter'!$A:$A,0))))&amp;" | Fig. 10 |"</f>
        <v/>
      </c>
      <c r="T2">
        <f>"| rho_sea | "&amp;IF(ISBLANK(INDEX('Global Parameter'!$D:$D,MATCH("rho_sea",'Global Parameter'!$A:$A,0))),"",INDEX('Global Parameter'!$D:$D,MATCH("rho_sea",'Global Parameter'!$A:$A,0)))&amp;IF(ISBLANK(INDEX('Global Parameter'!$B:$B,MATCH("rho_sea",'Global Parameter'!$A:$A,0))),1025,IF(INDEX('Global Parameter'!$B:$B,MATCH("rho_sea",'Global Parameter'!$A:$A,0))="",1025,INDEX('Global Parameter'!$B:$B,MATCH("rho_sea",'Global Parameter'!$A:$A,0))))&amp;IF(ISBLANK(INDEX('Global Parameter'!$E:$E,MATCH("rho_sea",'Global Parameter'!$A:$A,0)))," kg/m^3",IF(INDEX('Global Parameter'!$E:$E,MATCH("rho_sea",'Global Parameter'!$A:$A,0))=""," kg/m^3",INDEX('Global Parameter'!$E:$E,MATCH("rho_sea",'Global Parameter'!$A:$A,0))))&amp;" | 5.5.1 |"</f>
        <v/>
      </c>
      <c r="U2">
        <f>"| g | "&amp;IF(ISBLANK(INDEX('Global Parameter'!$D:$D,MATCH("g",'Global Parameter'!$A:$A,0))),"",INDEX('Global Parameter'!$D:$D,MATCH("g",'Global Parameter'!$A:$A,0)))&amp;IF(ISBLANK(INDEX('Global Parameter'!$B:$B,MATCH("g",'Global Parameter'!$A:$A,0))),9.81,IF(INDEX('Global Parameter'!$B:$B,MATCH("g",'Global Parameter'!$A:$A,0))="",9.81,INDEX('Global Parameter'!$B:$B,MATCH("g",'Global Parameter'!$A:$A,0))))&amp;IF(ISBLANK(INDEX('Global Parameter'!$E:$E,MATCH("g",'Global Parameter'!$A:$A,0)))," m/s^2",IF(INDEX('Global Parameter'!$E:$E,MATCH("g",'Global Parameter'!$A:$A,0))=""," m/s^2",INDEX('Global Parameter'!$E:$E,MATCH("g",'Global Parameter'!$A:$A,0))))&amp;" | 5.5.1 |"</f>
        <v/>
      </c>
      <c r="V2">
        <f>"| Cb | "&amp;IF(ISBLANK(INDEX('Global Parameter'!$D:$D,MATCH("Cb",'Global Parameter'!$A:$A,0))),"",INDEX('Global Parameter'!$D:$D,MATCH("Cb",'Global Parameter'!$A:$A,0)))&amp;IF(ISBLANK(INDEX('Global Parameter'!$B:$B,MATCH("Cb",'Global Parameter'!$A:$A,0))),1,IF(INDEX('Global Parameter'!$B:$B,MATCH("Cb",'Global Parameter'!$A:$A,0))="",1,INDEX('Global Parameter'!$B:$B,MATCH("Cb",'Global Parameter'!$A:$A,0))))&amp;IF(ISBLANK(INDEX('Global Parameter'!$E:$E,MATCH("Cb",'Global Parameter'!$A:$A,0))),"",INDEX('Global Parameter'!$E:$E,MATCH("Cb",'Global Parameter'!$A:$A,0)))&amp;" | 3-1-1/13.3 |"</f>
        <v/>
      </c>
      <c r="W2">
        <f>"| axis ax | ("&amp;IF(ISBLANK(INDEX('Global Parameter'!$D:$D,MATCH("ax_x",'Global Parameter'!$A:$A,0))),"",INDEX('Global Parameter'!$D:$D,MATCH("ax_x",'Global Parameter'!$A:$A,0)))&amp;IF(ISBLANK(INDEX('Global Parameter'!$B:$B,MATCH("ax_x",'Global Parameter'!$A:$A,0))),"1",IF(INDEX('Global Parameter'!$B:$B,MATCH("ax_x",'Global Parameter'!$A:$A,0))="","1",INDEX('Global Parameter'!$B:$B,MATCH("ax_x",'Global Parameter'!$A:$A,0))))&amp;IF(ISBLANK(INDEX('Global Parameter'!$E:$E,MATCH("ax_x",'Global Parameter'!$A:$A,0))),"",INDEX('Global Parameter'!$E:$E,MATCH("ax_x",'Global Parameter'!$A:$A,0)))&amp;", "&amp;IF(ISBLANK(INDEX('Global Parameter'!$D:$D,MATCH("ax_y",'Global Parameter'!$A:$A,0))),"",INDEX('Global Parameter'!$D:$D,MATCH("ax_y",'Global Parameter'!$A:$A,0)))&amp;IF(ISBLANK(INDEX('Global Parameter'!$B:$B,MATCH("ax_y",'Global Parameter'!$A:$A,0))),"2",IF(INDEX('Global Parameter'!$B:$B,MATCH("ax_y",'Global Parameter'!$A:$A,0))="","2",INDEX('Global Parameter'!$B:$B,MATCH("ax_y",'Global Parameter'!$A:$A,0))))&amp;IF(ISBLANK(INDEX('Global Parameter'!$E:$E,MATCH("ax_y",'Global Parameter'!$A:$A,0))),"",INDEX('Global Parameter'!$E:$E,MATCH("ax_y",'Global Parameter'!$A:$A,0)))&amp;", "&amp;IF(ISBLANK(INDEX('Global Parameter'!$D:$D,MATCH("ax_z",'Global Parameter'!$A:$A,0))),"",INDEX('Global Parameter'!$D:$D,MATCH("ax_z",'Global Parameter'!$A:$A,0)))&amp;IF(ISBLANK(INDEX('Global Parameter'!$B:$B,MATCH("ax_z",'Global Parameter'!$A:$A,0))),"3",IF(INDEX('Global Parameter'!$B:$B,MATCH("ax_z",'Global Parameter'!$A:$A,0))="","3",INDEX('Global Parameter'!$B:$B,MATCH("ax_z",'Global Parameter'!$A:$A,0))))&amp;IF(ISBLANK(INDEX('Global Parameter'!$E:$E,MATCH("ax_z",'Global Parameter'!$A:$A,0))),"",INDEX('Global Parameter'!$E:$E,MATCH("ax_z",'Global Parameter'!$A:$A,0)))&amp;") | 模型 |"</f>
        <v/>
      </c>
      <c r="X2">
        <f>"| axis neg | ("&amp;IF(ISBLANK(INDEX('Global Parameter'!$D:$D,MATCH("neg_x",'Global Parameter'!$A:$A,0))),"",INDEX('Global Parameter'!$D:$D,MATCH("neg_x",'Global Parameter'!$A:$A,0)))&amp;IF(ISBLANK(INDEX('Global Parameter'!$B:$B,MATCH("neg_x",'Global Parameter'!$A:$A,0))),"",INDEX('Global Parameter'!$B:$B,MATCH("neg_x",'Global Parameter'!$A:$A,0)))&amp;IF(ISBLANK(INDEX('Global Parameter'!$E:$E,MATCH("neg_x",'Global Parameter'!$A:$A,0))),"",INDEX('Global Parameter'!$E:$E,MATCH("neg_x",'Global Parameter'!$A:$A,0)))&amp;" / "&amp;IF(ISBLANK(INDEX('Global Parameter'!$D:$D,MATCH("neg_y",'Global Parameter'!$A:$A,0))),"",INDEX('Global Parameter'!$D:$D,MATCH("neg_y",'Global Parameter'!$A:$A,0)))&amp;IF(ISBLANK(INDEX('Global Parameter'!$B:$B,MATCH("neg_y",'Global Parameter'!$A:$A,0))),"",INDEX('Global Parameter'!$B:$B,MATCH("neg_y",'Global Parameter'!$A:$A,0)))&amp;IF(ISBLANK(INDEX('Global Parameter'!$E:$E,MATCH("neg_y",'Global Parameter'!$A:$A,0))),"",INDEX('Global Parameter'!$E:$E,MATCH("neg_y",'Global Parameter'!$A:$A,0)))&amp;" / "&amp;IF(ISBLANK(INDEX('Global Parameter'!$D:$D,MATCH("neg_z",'Global Parameter'!$A:$A,0))),"",INDEX('Global Parameter'!$D:$D,MATCH("neg_z",'Global Parameter'!$A:$A,0)))&amp;IF(ISBLANK(INDEX('Global Parameter'!$B:$B,MATCH("neg_z",'Global Parameter'!$A:$A,0))),"",INDEX('Global Parameter'!$B:$B,MATCH("neg_z",'Global Parameter'!$A:$A,0)))&amp;IF(ISBLANK(INDEX('Global Parameter'!$E:$E,MATCH("neg_z",'Global Parameter'!$A:$A,0))),"",INDEX('Global Parameter'!$E:$E,MATCH("neg_z",'Global Parameter'!$A:$A,0)))&amp;") | 模型 |"</f>
        <v/>
      </c>
    </row>
    <row r="3">
      <c r="A3" s="19" t="inlineStr">
        <is>
          <t>EXT-T15-mu0-kf-1</t>
        </is>
      </c>
      <c r="B3">
        <f>"| 项目 | 值 | 出处 |"</f>
        <v/>
      </c>
      <c r="C3">
        <f>"| --- | --- | --- |"</f>
        <v/>
      </c>
      <c r="D3">
        <f>"| case_name | "&amp;'Local Parameter'!$F$1&amp;" | 工况名（Excel 表头） |"</f>
        <v/>
      </c>
      <c r="E3">
        <f>"| kind | "&amp;IF(ISBLANK(INDEX('Local Parameter'!$C:$C,MATCH("kind",'Local Parameter'!$A:$A,0))),"",INDEX('Local Parameter'!$C:$C,MATCH("kind",'Local Parameter'!$A:$A,0)))&amp;IF(ISBLANK(INDEX('Local Parameter'!$F:$F,MATCH("kind",'Local Parameter'!$A:$A,0))),"EXT",IF(INDEX('Local Parameter'!$F:$F,MATCH("kind",'Local Parameter'!$A:$A,0))="","EXT",INDEX('Local Parameter'!$F:$F,MATCH("kind",'Local Parameter'!$A:$A,0))))&amp;IF(ISBLANK(INDEX('Local Parameter'!$D:$D,MATCH("kind",'Local Parameter'!$A:$A,0))),"",INDEX('Local Parameter'!$D:$D,MATCH("kind",'Local Parameter'!$A:$A,0)))&amp;" | 规则集（多规则集共用一本工作簿时用 case_filter 分流） |"</f>
        <v/>
      </c>
      <c r="F3">
        <f>"| draft | "&amp;IF(ISBLANK(INDEX('Local Parameter'!$C:$C,MATCH("draft",'Local Parameter'!$A:$A,0))),"",INDEX('Local Parameter'!$C:$C,MATCH("draft",'Local Parameter'!$A:$A,0)))&amp;IF(ISBLANK(INDEX('Local Parameter'!$F:$F,MATCH("draft",'Local Parameter'!$A:$A,0))),20.559,IF(INDEX('Local Parameter'!$F:$F,MATCH("draft",'Local Parameter'!$A:$A,0))="",20.559,INDEX('Local Parameter'!$F:$F,MATCH("draft",'Local Parameter'!$A:$A,0))))&amp;IF(ISBLANK(INDEX('Local Parameter'!$D:$D,MATCH("draft",'Local Parameter'!$A:$A,0)))," m",IF(INDEX('Local Parameter'!$D:$D,MATCH("draft",'Local Parameter'!$A:$A,0))=""," m",INDEX('Local Parameter'!$D:$D,MATCH("draft",'Local Parameter'!$A:$A,0))))&amp;" | 装载工况 |"</f>
        <v/>
      </c>
      <c r="G3">
        <f>"| mu_deg | "&amp;IF(ISBLANK(INDEX('Local Parameter'!$C:$C,MATCH("mu_deg",'Local Parameter'!$A:$A,0))),"",INDEX('Local Parameter'!$C:$C,MATCH("mu_deg",'Local Parameter'!$A:$A,0)))&amp;IF(ISBLANK(INDEX('Local Parameter'!$F:$F,MATCH("mu_deg",'Local Parameter'!$A:$A,0))),90,IF(INDEX('Local Parameter'!$F:$F,MATCH("mu_deg",'Local Parameter'!$A:$A,0))="",90,INDEX('Local Parameter'!$F:$F,MATCH("mu_deg",'Local Parameter'!$A:$A,0))))&amp;IF(ISBLANK(INDEX('Local Parameter'!$D:$D,MATCH("mu_deg",'Local Parameter'!$A:$A,0)))," deg",IF(INDEX('Local Parameter'!$D:$D,MATCH("mu_deg",'Local Parameter'!$A:$A,0))=""," deg",INDEX('Local Parameter'!$D:$D,MATCH("mu_deg",'Local Parameter'!$A:$A,0))))&amp;" | Table 1A D |"</f>
        <v/>
      </c>
      <c r="H3">
        <f>"| k_c | "&amp;IF(ISBLANK(INDEX('Local Parameter'!$C:$C,MATCH("k_c",'Local Parameter'!$A:$A,0))),"",INDEX('Local Parameter'!$C:$C,MATCH("k_c",'Local Parameter'!$A:$A,0)))&amp;IF(ISBLANK(INDEX('Local Parameter'!$F:$F,MATCH("k_c",'Local Parameter'!$A:$A,0))),1,IF(INDEX('Local Parameter'!$F:$F,MATCH("k_c",'Local Parameter'!$A:$A,0))="",1,INDEX('Local Parameter'!$F:$F,MATCH("k_c",'Local Parameter'!$A:$A,0))))&amp;IF(ISBLANK(INDEX('Local Parameter'!$D:$D,MATCH("k_c",'Local Parameter'!$A:$A,0))),"",INDEX('Local Parameter'!$D:$D,MATCH("k_c",'Local Parameter'!$A:$A,0)))&amp;" | Table 1A B |"</f>
        <v/>
      </c>
      <c r="I3">
        <f>"| k_f0 | "&amp;IF(ISBLANK(INDEX('Local Parameter'!$C:$C,MATCH("k_f0",'Local Parameter'!$A:$A,0))),"",INDEX('Local Parameter'!$C:$C,MATCH("k_f0",'Local Parameter'!$A:$A,0)))&amp;IF(ISBLANK(INDEX('Local Parameter'!$F:$F,MATCH("k_f0",'Local Parameter'!$A:$A,0))),1,IF(INDEX('Local Parameter'!$F:$F,MATCH("k_f0",'Local Parameter'!$A:$A,0))="",1,INDEX('Local Parameter'!$F:$F,MATCH("k_f0",'Local Parameter'!$A:$A,0))))&amp;IF(ISBLANK(INDEX('Local Parameter'!$D:$D,MATCH("k_f0",'Local Parameter'!$A:$A,0))),"",INDEX('Local Parameter'!$D:$D,MATCH("k_f0",'Local Parameter'!$A:$A,0)))&amp;" | Table 1A B |"</f>
        <v/>
      </c>
      <c r="J3">
        <f>"| k_u | "&amp;IF(ISBLANK(INDEX('Local Parameter'!$C:$C,MATCH("k_u",'Local Parameter'!$A:$A,0))),"",INDEX('Local Parameter'!$C:$C,MATCH("k_u",'Local Parameter'!$A:$A,0)))&amp;IF(ISBLANK(INDEX('Local Parameter'!$F:$F,MATCH("k_u",'Local Parameter'!$A:$A,0))),1.1,IF(INDEX('Local Parameter'!$F:$F,MATCH("k_u",'Local Parameter'!$A:$A,0))="",1.1,INDEX('Local Parameter'!$F:$F,MATCH("k_u",'Local Parameter'!$A:$A,0))))&amp;IF(ISBLANK(INDEX('Local Parameter'!$D:$D,MATCH("k_u",'Local Parameter'!$A:$A,0))),"",INDEX('Local Parameter'!$D:$D,MATCH("k_u",'Local Parameter'!$A:$A,0)))&amp;" | 5A-3-2/7, /9 |"</f>
        <v/>
      </c>
      <c r="K3">
        <f>"| beta_EPS | "&amp;IF(ISBLANK(INDEX('Local Parameter'!$C:$C,MATCH("beta_EPS",'Local Parameter'!$A:$A,0))),"",INDEX('Local Parameter'!$C:$C,MATCH("beta_EPS",'Local Parameter'!$A:$A,0)))&amp;IF(ISBLANK(INDEX('Local Parameter'!$F:$F,MATCH("beta_EPS",'Local Parameter'!$A:$A,0))),0.733,IF(INDEX('Local Parameter'!$F:$F,MATCH("beta_EPS",'Local Parameter'!$A:$A,0))="",0.733,INDEX('Local Parameter'!$F:$F,MATCH("beta_EPS",'Local Parameter'!$A:$A,0))))&amp;IF(ISBLANK(INDEX('Local Parameter'!$D:$D,MATCH("beta_EPS",'Local Parameter'!$A:$A,0))),"",INDEX('Local Parameter'!$D:$D,MATCH("beta_EPS",'Local Parameter'!$A:$A,0)))&amp;" | 5A-3-A1/3 |"</f>
        <v/>
      </c>
      <c r="L3">
        <f>"| beta_EPP | "&amp;IF(ISBLANK(INDEX('Local Parameter'!$C:$C,MATCH("beta_EPP",'Local Parameter'!$A:$A,0))),"",INDEX('Local Parameter'!$C:$C,MATCH("beta_EPP",'Local Parameter'!$A:$A,0)))&amp;IF(ISBLANK(INDEX('Local Parameter'!$F:$F,MATCH("beta_EPP",'Local Parameter'!$A:$A,0))),0.733,IF(INDEX('Local Parameter'!$F:$F,MATCH("beta_EPP",'Local Parameter'!$A:$A,0))="",0.733,INDEX('Local Parameter'!$F:$F,MATCH("beta_EPP",'Local Parameter'!$A:$A,0))))&amp;IF(ISBLANK(INDEX('Local Parameter'!$D:$D,MATCH("beta_EPP",'Local Parameter'!$A:$A,0))),"",INDEX('Local Parameter'!$D:$D,MATCH("beta_EPP",'Local Parameter'!$A:$A,0)))&amp;" | 5A-3-A1/3 |"</f>
        <v/>
      </c>
      <c r="M3">
        <f>"| k_esf | "&amp;IF(ISBLANK(INDEX('Local Parameter'!$C:$C,MATCH("k_esf",'Local Parameter'!$A:$A,0))),"",INDEX('Local Parameter'!$C:$C,MATCH("k_esf",'Local Parameter'!$A:$A,0)))&amp;IF(ISBLANK(INDEX('Local Parameter'!$F:$F,MATCH("k_esf",'Local Parameter'!$A:$A,0))),1.1,IF(INDEX('Local Parameter'!$F:$F,MATCH("k_esf",'Local Parameter'!$A:$A,0))="",1.1,INDEX('Local Parameter'!$F:$F,MATCH("k_esf",'Local Parameter'!$A:$A,0))))&amp;IF(ISBLANK(INDEX('Local Parameter'!$D:$D,MATCH("k_esf",'Local Parameter'!$A:$A,0))),"",INDEX('Local Parameter'!$D:$D,MATCH("k_esf",'Local Parameter'!$A:$A,0)))&amp;" | 项目 |"</f>
        <v/>
      </c>
      <c r="N3">
        <f>"| x_o | "&amp;IF(ISBLANK(INDEX('Local Parameter'!$C:$C,MATCH("x_o",'Local Parameter'!$A:$A,0))),"",INDEX('Local Parameter'!$C:$C,MATCH("x_o",'Local Parameter'!$A:$A,0)))&amp;IF(ISBLANK(INDEX('Local Parameter'!$F:$F,MATCH("x_o",'Local Parameter'!$A:$A,0))),51,IF(INDEX('Local Parameter'!$F:$F,MATCH("x_o",'Local Parameter'!$A:$A,0))="",51,INDEX('Local Parameter'!$F:$F,MATCH("x_o",'Local Parameter'!$A:$A,0))))&amp;IF(ISBLANK(INDEX('Local Parameter'!$D:$D,MATCH("x_o",'Local Parameter'!$A:$A,0)))," m",IF(INDEX('Local Parameter'!$D:$D,MATCH("x_o",'Local Parameter'!$A:$A,0))=""," m",INDEX('Local Parameter'!$D:$D,MATCH("x_o",'Local Parameter'!$A:$A,0))))&amp;" | Fig. 9 脚注 |"</f>
        <v/>
      </c>
      <c r="O3">
        <f>"| L | "&amp;IF(ISBLANK(INDEX('Global Parameter'!$D:$D,MATCH("L",'Global Parameter'!$A:$A,0))),"",INDEX('Global Parameter'!$D:$D,MATCH("L",'Global Parameter'!$A:$A,0)))&amp;IF(ISBLANK(INDEX('Global Parameter'!$B:$B,MATCH("L",'Global Parameter'!$A:$A,0))),340,IF(INDEX('Global Parameter'!$B:$B,MATCH("L",'Global Parameter'!$A:$A,0))="",340,INDEX('Global Parameter'!$B:$B,MATCH("L",'Global Parameter'!$A:$A,0))))&amp;IF(ISBLANK(INDEX('Global Parameter'!$E:$E,MATCH("L",'Global Parameter'!$A:$A,0)))," m",IF(INDEX('Global Parameter'!$E:$E,MATCH("L",'Global Parameter'!$A:$A,0))=""," m",INDEX('Global Parameter'!$E:$E,MATCH("L",'Global Parameter'!$A:$A,0))))&amp;" | 3-1-1/3 |"</f>
        <v/>
      </c>
      <c r="P3">
        <f>"| B | "&amp;IF(ISBLANK(INDEX('Global Parameter'!$D:$D,MATCH("B",'Global Parameter'!$A:$A,0))),"",INDEX('Global Parameter'!$D:$D,MATCH("B",'Global Parameter'!$A:$A,0)))&amp;IF(ISBLANK(INDEX('Global Parameter'!$B:$B,MATCH("B",'Global Parameter'!$A:$A,0))),64,IF(INDEX('Global Parameter'!$B:$B,MATCH("B",'Global Parameter'!$A:$A,0))="",64,INDEX('Global Parameter'!$B:$B,MATCH("B",'Global Parameter'!$A:$A,0))))&amp;IF(ISBLANK(INDEX('Global Parameter'!$E:$E,MATCH("B",'Global Parameter'!$A:$A,0)))," m",IF(INDEX('Global Parameter'!$E:$E,MATCH("B",'Global Parameter'!$A:$A,0))=""," m",INDEX('Global Parameter'!$E:$E,MATCH("B",'Global Parameter'!$A:$A,0))))&amp;" | 3-1-1/3 |"</f>
        <v/>
      </c>
      <c r="Q3">
        <f>"| D | "&amp;IF(ISBLANK(INDEX('Global Parameter'!$D:$D,MATCH("D",'Global Parameter'!$A:$A,0))),"",INDEX('Global Parameter'!$D:$D,MATCH("D",'Global Parameter'!$A:$A,0)))&amp;IF(ISBLANK(INDEX('Global Parameter'!$B:$B,MATCH("D",'Global Parameter'!$A:$A,0))),32,IF(INDEX('Global Parameter'!$B:$B,MATCH("D",'Global Parameter'!$A:$A,0))="",32,INDEX('Global Parameter'!$B:$B,MATCH("D",'Global Parameter'!$A:$A,0))))&amp;IF(ISBLANK(INDEX('Global Parameter'!$E:$E,MATCH("D",'Global Parameter'!$A:$A,0)))," m",IF(INDEX('Global Parameter'!$E:$E,MATCH("D",'Global Parameter'!$A:$A,0))=""," m",INDEX('Global Parameter'!$E:$E,MATCH("D",'Global Parameter'!$A:$A,0))))&amp;" | 3-1-1/3 |"</f>
        <v/>
      </c>
      <c r="R3">
        <f>"| r_b | "&amp;IF(ISBLANK(INDEX('Global Parameter'!$D:$D,MATCH("r_b",'Global Parameter'!$A:$A,0))),"",INDEX('Global Parameter'!$D:$D,MATCH("r_b",'Global Parameter'!$A:$A,0)))&amp;IF(ISBLANK(INDEX('Global Parameter'!$B:$B,MATCH("r_b",'Global Parameter'!$A:$A,0))),0.703,IF(INDEX('Global Parameter'!$B:$B,MATCH("r_b",'Global Parameter'!$A:$A,0))="",0.703,INDEX('Global Parameter'!$B:$B,MATCH("r_b",'Global Parameter'!$A:$A,0))))&amp;IF(ISBLANK(INDEX('Global Parameter'!$E:$E,MATCH("r_b",'Global Parameter'!$A:$A,0)))," m",IF(INDEX('Global Parameter'!$E:$E,MATCH("r_b",'Global Parameter'!$A:$A,0))=""," m",INDEX('Global Parameter'!$E:$E,MATCH("r_b",'Global Parameter'!$A:$A,0))))&amp;" | Fig. 11 |"</f>
        <v/>
      </c>
      <c r="S3">
        <f>"| freeboard | "&amp;IF(ISBLANK(INDEX('Global Parameter'!$D:$D,MATCH("freeboard",'Global Parameter'!$A:$A,0))),"",INDEX('Global Parameter'!$D:$D,MATCH("freeboard",'Global Parameter'!$A:$A,0)))&amp;IF(ISBLANK(INDEX('Global Parameter'!$B:$B,MATCH("freeboard",'Global Parameter'!$A:$A,0))),0.5,IF(INDEX('Global Parameter'!$B:$B,MATCH("freeboard",'Global Parameter'!$A:$A,0))="",0.5,INDEX('Global Parameter'!$B:$B,MATCH("freeboard",'Global Parameter'!$A:$A,0))))&amp;IF(ISBLANK(INDEX('Global Parameter'!$E:$E,MATCH("freeboard",'Global Parameter'!$A:$A,0)))," m",IF(INDEX('Global Parameter'!$E:$E,MATCH("freeboard",'Global Parameter'!$A:$A,0))=""," m",INDEX('Global Parameter'!$E:$E,MATCH("freeboard",'Global Parameter'!$A:$A,0))))&amp;" | Fig. 10 |"</f>
        <v/>
      </c>
      <c r="T3">
        <f>"| rho_sea | "&amp;IF(ISBLANK(INDEX('Global Parameter'!$D:$D,MATCH("rho_sea",'Global Parameter'!$A:$A,0))),"",INDEX('Global Parameter'!$D:$D,MATCH("rho_sea",'Global Parameter'!$A:$A,0)))&amp;IF(ISBLANK(INDEX('Global Parameter'!$B:$B,MATCH("rho_sea",'Global Parameter'!$A:$A,0))),1025,IF(INDEX('Global Parameter'!$B:$B,MATCH("rho_sea",'Global Parameter'!$A:$A,0))="",1025,INDEX('Global Parameter'!$B:$B,MATCH("rho_sea",'Global Parameter'!$A:$A,0))))&amp;IF(ISBLANK(INDEX('Global Parameter'!$E:$E,MATCH("rho_sea",'Global Parameter'!$A:$A,0)))," kg/m^3",IF(INDEX('Global Parameter'!$E:$E,MATCH("rho_sea",'Global Parameter'!$A:$A,0))=""," kg/m^3",INDEX('Global Parameter'!$E:$E,MATCH("rho_sea",'Global Parameter'!$A:$A,0))))&amp;" | 5.5.1 |"</f>
        <v/>
      </c>
      <c r="U3">
        <f>"| g | "&amp;IF(ISBLANK(INDEX('Global Parameter'!$D:$D,MATCH("g",'Global Parameter'!$A:$A,0))),"",INDEX('Global Parameter'!$D:$D,MATCH("g",'Global Parameter'!$A:$A,0)))&amp;IF(ISBLANK(INDEX('Global Parameter'!$B:$B,MATCH("g",'Global Parameter'!$A:$A,0))),9.81,IF(INDEX('Global Parameter'!$B:$B,MATCH("g",'Global Parameter'!$A:$A,0))="",9.81,INDEX('Global Parameter'!$B:$B,MATCH("g",'Global Parameter'!$A:$A,0))))&amp;IF(ISBLANK(INDEX('Global Parameter'!$E:$E,MATCH("g",'Global Parameter'!$A:$A,0)))," m/s^2",IF(INDEX('Global Parameter'!$E:$E,MATCH("g",'Global Parameter'!$A:$A,0))=""," m/s^2",INDEX('Global Parameter'!$E:$E,MATCH("g",'Global Parameter'!$A:$A,0))))&amp;" | 5.5.1 |"</f>
        <v/>
      </c>
      <c r="V3">
        <f>"| Cb | "&amp;IF(ISBLANK(INDEX('Global Parameter'!$D:$D,MATCH("Cb",'Global Parameter'!$A:$A,0))),"",INDEX('Global Parameter'!$D:$D,MATCH("Cb",'Global Parameter'!$A:$A,0)))&amp;IF(ISBLANK(INDEX('Global Parameter'!$B:$B,MATCH("Cb",'Global Parameter'!$A:$A,0))),1,IF(INDEX('Global Parameter'!$B:$B,MATCH("Cb",'Global Parameter'!$A:$A,0))="",1,INDEX('Global Parameter'!$B:$B,MATCH("Cb",'Global Parameter'!$A:$A,0))))&amp;IF(ISBLANK(INDEX('Global Parameter'!$E:$E,MATCH("Cb",'Global Parameter'!$A:$A,0))),"",INDEX('Global Parameter'!$E:$E,MATCH("Cb",'Global Parameter'!$A:$A,0)))&amp;" | 3-1-1/13.3 |"</f>
        <v/>
      </c>
      <c r="W3">
        <f>"| axis ax | ("&amp;IF(ISBLANK(INDEX('Global Parameter'!$D:$D,MATCH("ax_x",'Global Parameter'!$A:$A,0))),"",INDEX('Global Parameter'!$D:$D,MATCH("ax_x",'Global Parameter'!$A:$A,0)))&amp;IF(ISBLANK(INDEX('Global Parameter'!$B:$B,MATCH("ax_x",'Global Parameter'!$A:$A,0))),"1",IF(INDEX('Global Parameter'!$B:$B,MATCH("ax_x",'Global Parameter'!$A:$A,0))="","1",INDEX('Global Parameter'!$B:$B,MATCH("ax_x",'Global Parameter'!$A:$A,0))))&amp;IF(ISBLANK(INDEX('Global Parameter'!$E:$E,MATCH("ax_x",'Global Parameter'!$A:$A,0))),"",INDEX('Global Parameter'!$E:$E,MATCH("ax_x",'Global Parameter'!$A:$A,0)))&amp;", "&amp;IF(ISBLANK(INDEX('Global Parameter'!$D:$D,MATCH("ax_y",'Global Parameter'!$A:$A,0))),"",INDEX('Global Parameter'!$D:$D,MATCH("ax_y",'Global Parameter'!$A:$A,0)))&amp;IF(ISBLANK(INDEX('Global Parameter'!$B:$B,MATCH("ax_y",'Global Parameter'!$A:$A,0))),"2",IF(INDEX('Global Parameter'!$B:$B,MATCH("ax_y",'Global Parameter'!$A:$A,0))="","2",INDEX('Global Parameter'!$B:$B,MATCH("ax_y",'Global Parameter'!$A:$A,0))))&amp;IF(ISBLANK(INDEX('Global Parameter'!$E:$E,MATCH("ax_y",'Global Parameter'!$A:$A,0))),"",INDEX('Global Parameter'!$E:$E,MATCH("ax_y",'Global Parameter'!$A:$A,0)))&amp;", "&amp;IF(ISBLANK(INDEX('Global Parameter'!$D:$D,MATCH("ax_z",'Global Parameter'!$A:$A,0))),"",INDEX('Global Parameter'!$D:$D,MATCH("ax_z",'Global Parameter'!$A:$A,0)))&amp;IF(ISBLANK(INDEX('Global Parameter'!$B:$B,MATCH("ax_z",'Global Parameter'!$A:$A,0))),"3",IF(INDEX('Global Parameter'!$B:$B,MATCH("ax_z",'Global Parameter'!$A:$A,0))="","3",INDEX('Global Parameter'!$B:$B,MATCH("ax_z",'Global Parameter'!$A:$A,0))))&amp;IF(ISBLANK(INDEX('Global Parameter'!$E:$E,MATCH("ax_z",'Global Parameter'!$A:$A,0))),"",INDEX('Global Parameter'!$E:$E,MATCH("ax_z",'Global Parameter'!$A:$A,0)))&amp;") | 模型 |"</f>
        <v/>
      </c>
      <c r="X3">
        <f>"| axis neg | ("&amp;IF(ISBLANK(INDEX('Global Parameter'!$D:$D,MATCH("neg_x",'Global Parameter'!$A:$A,0))),"",INDEX('Global Parameter'!$D:$D,MATCH("neg_x",'Global Parameter'!$A:$A,0)))&amp;IF(ISBLANK(INDEX('Global Parameter'!$B:$B,MATCH("neg_x",'Global Parameter'!$A:$A,0))),"",INDEX('Global Parameter'!$B:$B,MATCH("neg_x",'Global Parameter'!$A:$A,0)))&amp;IF(ISBLANK(INDEX('Global Parameter'!$E:$E,MATCH("neg_x",'Global Parameter'!$A:$A,0))),"",INDEX('Global Parameter'!$E:$E,MATCH("neg_x",'Global Parameter'!$A:$A,0)))&amp;" / "&amp;IF(ISBLANK(INDEX('Global Parameter'!$D:$D,MATCH("neg_y",'Global Parameter'!$A:$A,0))),"",INDEX('Global Parameter'!$D:$D,MATCH("neg_y",'Global Parameter'!$A:$A,0)))&amp;IF(ISBLANK(INDEX('Global Parameter'!$B:$B,MATCH("neg_y",'Global Parameter'!$A:$A,0))),"",INDEX('Global Parameter'!$B:$B,MATCH("neg_y",'Global Parameter'!$A:$A,0)))&amp;IF(ISBLANK(INDEX('Global Parameter'!$E:$E,MATCH("neg_y",'Global Parameter'!$A:$A,0))),"",INDEX('Global Parameter'!$E:$E,MATCH("neg_y",'Global Parameter'!$A:$A,0)))&amp;" / "&amp;IF(ISBLANK(INDEX('Global Parameter'!$D:$D,MATCH("neg_z",'Global Parameter'!$A:$A,0))),"",INDEX('Global Parameter'!$D:$D,MATCH("neg_z",'Global Parameter'!$A:$A,0)))&amp;IF(ISBLANK(INDEX('Global Parameter'!$B:$B,MATCH("neg_z",'Global Parameter'!$A:$A,0))),"",INDEX('Global Parameter'!$B:$B,MATCH("neg_z",'Global Parameter'!$A:$A,0)))&amp;IF(ISBLANK(INDEX('Global Parameter'!$E:$E,MATCH("neg_z",'Global Parameter'!$A:$A,0))),"",INDEX('Global Parameter'!$E:$E,MATCH("neg_z",'Global Parameter'!$A:$A,0)))&amp;") | 模型 |"</f>
        <v/>
      </c>
    </row>
    <row r="4">
      <c r="A4" s="19" t="inlineStr">
        <is>
          <t>EXT-T15-mu90-kf+1</t>
        </is>
      </c>
      <c r="B4">
        <f>"| 项目 | 值 | 出处 |"</f>
        <v/>
      </c>
      <c r="C4">
        <f>"| --- | --- | --- |"</f>
        <v/>
      </c>
      <c r="D4">
        <f>"| case_name | "&amp;'Local Parameter'!$G$1&amp;" | 工况名（Excel 表头） |"</f>
        <v/>
      </c>
      <c r="E4">
        <f>"| kind | "&amp;IF(ISBLANK(INDEX('Local Parameter'!$C:$C,MATCH("kind",'Local Parameter'!$A:$A,0))),"",INDEX('Local Parameter'!$C:$C,MATCH("kind",'Local Parameter'!$A:$A,0)))&amp;IF(ISBLANK(INDEX('Local Parameter'!$G:$G,MATCH("kind",'Local Parameter'!$A:$A,0))),"EXT",IF(INDEX('Local Parameter'!$G:$G,MATCH("kind",'Local Parameter'!$A:$A,0))="","EXT",INDEX('Local Parameter'!$G:$G,MATCH("kind",'Local Parameter'!$A:$A,0))))&amp;IF(ISBLANK(INDEX('Local Parameter'!$D:$D,MATCH("kind",'Local Parameter'!$A:$A,0))),"",INDEX('Local Parameter'!$D:$D,MATCH("kind",'Local Parameter'!$A:$A,0)))&amp;" | 规则集（多规则集共用一本工作簿时用 case_filter 分流） |"</f>
        <v/>
      </c>
      <c r="F4">
        <f>"| draft | "&amp;IF(ISBLANK(INDEX('Local Parameter'!$C:$C,MATCH("draft",'Local Parameter'!$A:$A,0))),"",INDEX('Local Parameter'!$C:$C,MATCH("draft",'Local Parameter'!$A:$A,0)))&amp;IF(ISBLANK(INDEX('Local Parameter'!$G:$G,MATCH("draft",'Local Parameter'!$A:$A,0))),20.559,IF(INDEX('Local Parameter'!$G:$G,MATCH("draft",'Local Parameter'!$A:$A,0))="",20.559,INDEX('Local Parameter'!$G:$G,MATCH("draft",'Local Parameter'!$A:$A,0))))&amp;IF(ISBLANK(INDEX('Local Parameter'!$D:$D,MATCH("draft",'Local Parameter'!$A:$A,0)))," m",IF(INDEX('Local Parameter'!$D:$D,MATCH("draft",'Local Parameter'!$A:$A,0))=""," m",INDEX('Local Parameter'!$D:$D,MATCH("draft",'Local Parameter'!$A:$A,0))))&amp;" | 装载工况 |"</f>
        <v/>
      </c>
      <c r="G4">
        <f>"| mu_deg | "&amp;IF(ISBLANK(INDEX('Local Parameter'!$C:$C,MATCH("mu_deg",'Local Parameter'!$A:$A,0))),"",INDEX('Local Parameter'!$C:$C,MATCH("mu_deg",'Local Parameter'!$A:$A,0)))&amp;IF(ISBLANK(INDEX('Local Parameter'!$G:$G,MATCH("mu_deg",'Local Parameter'!$A:$A,0))),90,IF(INDEX('Local Parameter'!$G:$G,MATCH("mu_deg",'Local Parameter'!$A:$A,0))="",90,INDEX('Local Parameter'!$G:$G,MATCH("mu_deg",'Local Parameter'!$A:$A,0))))&amp;IF(ISBLANK(INDEX('Local Parameter'!$D:$D,MATCH("mu_deg",'Local Parameter'!$A:$A,0)))," deg",IF(INDEX('Local Parameter'!$D:$D,MATCH("mu_deg",'Local Parameter'!$A:$A,0))=""," deg",INDEX('Local Parameter'!$D:$D,MATCH("mu_deg",'Local Parameter'!$A:$A,0))))&amp;" | Table 1A D |"</f>
        <v/>
      </c>
      <c r="H4">
        <f>"| k_c | "&amp;IF(ISBLANK(INDEX('Local Parameter'!$C:$C,MATCH("k_c",'Local Parameter'!$A:$A,0))),"",INDEX('Local Parameter'!$C:$C,MATCH("k_c",'Local Parameter'!$A:$A,0)))&amp;IF(ISBLANK(INDEX('Local Parameter'!$G:$G,MATCH("k_c",'Local Parameter'!$A:$A,0))),1,IF(INDEX('Local Parameter'!$G:$G,MATCH("k_c",'Local Parameter'!$A:$A,0))="",1,INDEX('Local Parameter'!$G:$G,MATCH("k_c",'Local Parameter'!$A:$A,0))))&amp;IF(ISBLANK(INDEX('Local Parameter'!$D:$D,MATCH("k_c",'Local Parameter'!$A:$A,0))),"",INDEX('Local Parameter'!$D:$D,MATCH("k_c",'Local Parameter'!$A:$A,0)))&amp;" | Table 1A B |"</f>
        <v/>
      </c>
      <c r="I4">
        <f>"| k_f0 | "&amp;IF(ISBLANK(INDEX('Local Parameter'!$C:$C,MATCH("k_f0",'Local Parameter'!$A:$A,0))),"",INDEX('Local Parameter'!$C:$C,MATCH("k_f0",'Local Parameter'!$A:$A,0)))&amp;IF(ISBLANK(INDEX('Local Parameter'!$G:$G,MATCH("k_f0",'Local Parameter'!$A:$A,0))),1,IF(INDEX('Local Parameter'!$G:$G,MATCH("k_f0",'Local Parameter'!$A:$A,0))="",1,INDEX('Local Parameter'!$G:$G,MATCH("k_f0",'Local Parameter'!$A:$A,0))))&amp;IF(ISBLANK(INDEX('Local Parameter'!$D:$D,MATCH("k_f0",'Local Parameter'!$A:$A,0))),"",INDEX('Local Parameter'!$D:$D,MATCH("k_f0",'Local Parameter'!$A:$A,0)))&amp;" | Table 1A B |"</f>
        <v/>
      </c>
      <c r="J4">
        <f>"| k_u | "&amp;IF(ISBLANK(INDEX('Local Parameter'!$C:$C,MATCH("k_u",'Local Parameter'!$A:$A,0))),"",INDEX('Local Parameter'!$C:$C,MATCH("k_u",'Local Parameter'!$A:$A,0)))&amp;IF(ISBLANK(INDEX('Local Parameter'!$G:$G,MATCH("k_u",'Local Parameter'!$A:$A,0))),1.1,IF(INDEX('Local Parameter'!$G:$G,MATCH("k_u",'Local Parameter'!$A:$A,0))="",1.1,INDEX('Local Parameter'!$G:$G,MATCH("k_u",'Local Parameter'!$A:$A,0))))&amp;IF(ISBLANK(INDEX('Local Parameter'!$D:$D,MATCH("k_u",'Local Parameter'!$A:$A,0))),"",INDEX('Local Parameter'!$D:$D,MATCH("k_u",'Local Parameter'!$A:$A,0)))&amp;" | 5A-3-2/7, /9 |"</f>
        <v/>
      </c>
      <c r="K4">
        <f>"| beta_EPS | "&amp;IF(ISBLANK(INDEX('Local Parameter'!$C:$C,MATCH("beta_EPS",'Local Parameter'!$A:$A,0))),"",INDEX('Local Parameter'!$C:$C,MATCH("beta_EPS",'Local Parameter'!$A:$A,0)))&amp;IF(ISBLANK(INDEX('Local Parameter'!$G:$G,MATCH("beta_EPS",'Local Parameter'!$A:$A,0))),0.733,IF(INDEX('Local Parameter'!$G:$G,MATCH("beta_EPS",'Local Parameter'!$A:$A,0))="",0.733,INDEX('Local Parameter'!$G:$G,MATCH("beta_EPS",'Local Parameter'!$A:$A,0))))&amp;IF(ISBLANK(INDEX('Local Parameter'!$D:$D,MATCH("beta_EPS",'Local Parameter'!$A:$A,0))),"",INDEX('Local Parameter'!$D:$D,MATCH("beta_EPS",'Local Parameter'!$A:$A,0)))&amp;" | 5A-3-A1/3 |"</f>
        <v/>
      </c>
      <c r="L4">
        <f>"| beta_EPP | "&amp;IF(ISBLANK(INDEX('Local Parameter'!$C:$C,MATCH("beta_EPP",'Local Parameter'!$A:$A,0))),"",INDEX('Local Parameter'!$C:$C,MATCH("beta_EPP",'Local Parameter'!$A:$A,0)))&amp;IF(ISBLANK(INDEX('Local Parameter'!$G:$G,MATCH("beta_EPP",'Local Parameter'!$A:$A,0))),0.733,IF(INDEX('Local Parameter'!$G:$G,MATCH("beta_EPP",'Local Parameter'!$A:$A,0))="",0.733,INDEX('Local Parameter'!$G:$G,MATCH("beta_EPP",'Local Parameter'!$A:$A,0))))&amp;IF(ISBLANK(INDEX('Local Parameter'!$D:$D,MATCH("beta_EPP",'Local Parameter'!$A:$A,0))),"",INDEX('Local Parameter'!$D:$D,MATCH("beta_EPP",'Local Parameter'!$A:$A,0)))&amp;" | 5A-3-A1/3 |"</f>
        <v/>
      </c>
      <c r="M4">
        <f>"| k_esf | "&amp;IF(ISBLANK(INDEX('Local Parameter'!$C:$C,MATCH("k_esf",'Local Parameter'!$A:$A,0))),"",INDEX('Local Parameter'!$C:$C,MATCH("k_esf",'Local Parameter'!$A:$A,0)))&amp;IF(ISBLANK(INDEX('Local Parameter'!$G:$G,MATCH("k_esf",'Local Parameter'!$A:$A,0))),1.1,IF(INDEX('Local Parameter'!$G:$G,MATCH("k_esf",'Local Parameter'!$A:$A,0))="",1.1,INDEX('Local Parameter'!$G:$G,MATCH("k_esf",'Local Parameter'!$A:$A,0))))&amp;IF(ISBLANK(INDEX('Local Parameter'!$D:$D,MATCH("k_esf",'Local Parameter'!$A:$A,0))),"",INDEX('Local Parameter'!$D:$D,MATCH("k_esf",'Local Parameter'!$A:$A,0)))&amp;" | 项目 |"</f>
        <v/>
      </c>
      <c r="N4">
        <f>"| x_o | "&amp;IF(ISBLANK(INDEX('Local Parameter'!$C:$C,MATCH("x_o",'Local Parameter'!$A:$A,0))),"",INDEX('Local Parameter'!$C:$C,MATCH("x_o",'Local Parameter'!$A:$A,0)))&amp;IF(ISBLANK(INDEX('Local Parameter'!$G:$G,MATCH("x_o",'Local Parameter'!$A:$A,0))),51,IF(INDEX('Local Parameter'!$G:$G,MATCH("x_o",'Local Parameter'!$A:$A,0))="",51,INDEX('Local Parameter'!$G:$G,MATCH("x_o",'Local Parameter'!$A:$A,0))))&amp;IF(ISBLANK(INDEX('Local Parameter'!$D:$D,MATCH("x_o",'Local Parameter'!$A:$A,0)))," m",IF(INDEX('Local Parameter'!$D:$D,MATCH("x_o",'Local Parameter'!$A:$A,0))=""," m",INDEX('Local Parameter'!$D:$D,MATCH("x_o",'Local Parameter'!$A:$A,0))))&amp;" | Fig. 9 脚注 |"</f>
        <v/>
      </c>
      <c r="O4">
        <f>"| L | "&amp;IF(ISBLANK(INDEX('Global Parameter'!$D:$D,MATCH("L",'Global Parameter'!$A:$A,0))),"",INDEX('Global Parameter'!$D:$D,MATCH("L",'Global Parameter'!$A:$A,0)))&amp;IF(ISBLANK(INDEX('Global Parameter'!$B:$B,MATCH("L",'Global Parameter'!$A:$A,0))),340,IF(INDEX('Global Parameter'!$B:$B,MATCH("L",'Global Parameter'!$A:$A,0))="",340,INDEX('Global Parameter'!$B:$B,MATCH("L",'Global Parameter'!$A:$A,0))))&amp;IF(ISBLANK(INDEX('Global Parameter'!$E:$E,MATCH("L",'Global Parameter'!$A:$A,0)))," m",IF(INDEX('Global Parameter'!$E:$E,MATCH("L",'Global Parameter'!$A:$A,0))=""," m",INDEX('Global Parameter'!$E:$E,MATCH("L",'Global Parameter'!$A:$A,0))))&amp;" | 3-1-1/3 |"</f>
        <v/>
      </c>
      <c r="P4">
        <f>"| B | "&amp;IF(ISBLANK(INDEX('Global Parameter'!$D:$D,MATCH("B",'Global Parameter'!$A:$A,0))),"",INDEX('Global Parameter'!$D:$D,MATCH("B",'Global Parameter'!$A:$A,0)))&amp;IF(ISBLANK(INDEX('Global Parameter'!$B:$B,MATCH("B",'Global Parameter'!$A:$A,0))),64,IF(INDEX('Global Parameter'!$B:$B,MATCH("B",'Global Parameter'!$A:$A,0))="",64,INDEX('Global Parameter'!$B:$B,MATCH("B",'Global Parameter'!$A:$A,0))))&amp;IF(ISBLANK(INDEX('Global Parameter'!$E:$E,MATCH("B",'Global Parameter'!$A:$A,0)))," m",IF(INDEX('Global Parameter'!$E:$E,MATCH("B",'Global Parameter'!$A:$A,0))=""," m",INDEX('Global Parameter'!$E:$E,MATCH("B",'Global Parameter'!$A:$A,0))))&amp;" | 3-1-1/3 |"</f>
        <v/>
      </c>
      <c r="Q4">
        <f>"| D | "&amp;IF(ISBLANK(INDEX('Global Parameter'!$D:$D,MATCH("D",'Global Parameter'!$A:$A,0))),"",INDEX('Global Parameter'!$D:$D,MATCH("D",'Global Parameter'!$A:$A,0)))&amp;IF(ISBLANK(INDEX('Global Parameter'!$B:$B,MATCH("D",'Global Parameter'!$A:$A,0))),32,IF(INDEX('Global Parameter'!$B:$B,MATCH("D",'Global Parameter'!$A:$A,0))="",32,INDEX('Global Parameter'!$B:$B,MATCH("D",'Global Parameter'!$A:$A,0))))&amp;IF(ISBLANK(INDEX('Global Parameter'!$E:$E,MATCH("D",'Global Parameter'!$A:$A,0)))," m",IF(INDEX('Global Parameter'!$E:$E,MATCH("D",'Global Parameter'!$A:$A,0))=""," m",INDEX('Global Parameter'!$E:$E,MATCH("D",'Global Parameter'!$A:$A,0))))&amp;" | 3-1-1/3 |"</f>
        <v/>
      </c>
      <c r="R4">
        <f>"| r_b | "&amp;IF(ISBLANK(INDEX('Global Parameter'!$D:$D,MATCH("r_b",'Global Parameter'!$A:$A,0))),"",INDEX('Global Parameter'!$D:$D,MATCH("r_b",'Global Parameter'!$A:$A,0)))&amp;IF(ISBLANK(INDEX('Global Parameter'!$B:$B,MATCH("r_b",'Global Parameter'!$A:$A,0))),0.703,IF(INDEX('Global Parameter'!$B:$B,MATCH("r_b",'Global Parameter'!$A:$A,0))="",0.703,INDEX('Global Parameter'!$B:$B,MATCH("r_b",'Global Parameter'!$A:$A,0))))&amp;IF(ISBLANK(INDEX('Global Parameter'!$E:$E,MATCH("r_b",'Global Parameter'!$A:$A,0)))," m",IF(INDEX('Global Parameter'!$E:$E,MATCH("r_b",'Global Parameter'!$A:$A,0))=""," m",INDEX('Global Parameter'!$E:$E,MATCH("r_b",'Global Parameter'!$A:$A,0))))&amp;" | Fig. 11 |"</f>
        <v/>
      </c>
      <c r="S4">
        <f>"| freeboard | "&amp;IF(ISBLANK(INDEX('Global Parameter'!$D:$D,MATCH("freeboard",'Global Parameter'!$A:$A,0))),"",INDEX('Global Parameter'!$D:$D,MATCH("freeboard",'Global Parameter'!$A:$A,0)))&amp;IF(ISBLANK(INDEX('Global Parameter'!$B:$B,MATCH("freeboard",'Global Parameter'!$A:$A,0))),0.5,IF(INDEX('Global Parameter'!$B:$B,MATCH("freeboard",'Global Parameter'!$A:$A,0))="",0.5,INDEX('Global Parameter'!$B:$B,MATCH("freeboard",'Global Parameter'!$A:$A,0))))&amp;IF(ISBLANK(INDEX('Global Parameter'!$E:$E,MATCH("freeboard",'Global Parameter'!$A:$A,0)))," m",IF(INDEX('Global Parameter'!$E:$E,MATCH("freeboard",'Global Parameter'!$A:$A,0))=""," m",INDEX('Global Parameter'!$E:$E,MATCH("freeboard",'Global Parameter'!$A:$A,0))))&amp;" | Fig. 10 |"</f>
        <v/>
      </c>
      <c r="T4">
        <f>"| rho_sea | "&amp;IF(ISBLANK(INDEX('Global Parameter'!$D:$D,MATCH("rho_sea",'Global Parameter'!$A:$A,0))),"",INDEX('Global Parameter'!$D:$D,MATCH("rho_sea",'Global Parameter'!$A:$A,0)))&amp;IF(ISBLANK(INDEX('Global Parameter'!$B:$B,MATCH("rho_sea",'Global Parameter'!$A:$A,0))),1025,IF(INDEX('Global Parameter'!$B:$B,MATCH("rho_sea",'Global Parameter'!$A:$A,0))="",1025,INDEX('Global Parameter'!$B:$B,MATCH("rho_sea",'Global Parameter'!$A:$A,0))))&amp;IF(ISBLANK(INDEX('Global Parameter'!$E:$E,MATCH("rho_sea",'Global Parameter'!$A:$A,0)))," kg/m^3",IF(INDEX('Global Parameter'!$E:$E,MATCH("rho_sea",'Global Parameter'!$A:$A,0))=""," kg/m^3",INDEX('Global Parameter'!$E:$E,MATCH("rho_sea",'Global Parameter'!$A:$A,0))))&amp;" | 5.5.1 |"</f>
        <v/>
      </c>
      <c r="U4">
        <f>"| g | "&amp;IF(ISBLANK(INDEX('Global Parameter'!$D:$D,MATCH("g",'Global Parameter'!$A:$A,0))),"",INDEX('Global Parameter'!$D:$D,MATCH("g",'Global Parameter'!$A:$A,0)))&amp;IF(ISBLANK(INDEX('Global Parameter'!$B:$B,MATCH("g",'Global Parameter'!$A:$A,0))),9.81,IF(INDEX('Global Parameter'!$B:$B,MATCH("g",'Global Parameter'!$A:$A,0))="",9.81,INDEX('Global Parameter'!$B:$B,MATCH("g",'Global Parameter'!$A:$A,0))))&amp;IF(ISBLANK(INDEX('Global Parameter'!$E:$E,MATCH("g",'Global Parameter'!$A:$A,0)))," m/s^2",IF(INDEX('Global Parameter'!$E:$E,MATCH("g",'Global Parameter'!$A:$A,0))=""," m/s^2",INDEX('Global Parameter'!$E:$E,MATCH("g",'Global Parameter'!$A:$A,0))))&amp;" | 5.5.1 |"</f>
        <v/>
      </c>
      <c r="V4">
        <f>"| Cb | "&amp;IF(ISBLANK(INDEX('Global Parameter'!$D:$D,MATCH("Cb",'Global Parameter'!$A:$A,0))),"",INDEX('Global Parameter'!$D:$D,MATCH("Cb",'Global Parameter'!$A:$A,0)))&amp;IF(ISBLANK(INDEX('Global Parameter'!$B:$B,MATCH("Cb",'Global Parameter'!$A:$A,0))),1,IF(INDEX('Global Parameter'!$B:$B,MATCH("Cb",'Global Parameter'!$A:$A,0))="",1,INDEX('Global Parameter'!$B:$B,MATCH("Cb",'Global Parameter'!$A:$A,0))))&amp;IF(ISBLANK(INDEX('Global Parameter'!$E:$E,MATCH("Cb",'Global Parameter'!$A:$A,0))),"",INDEX('Global Parameter'!$E:$E,MATCH("Cb",'Global Parameter'!$A:$A,0)))&amp;" | 3-1-1/13.3 |"</f>
        <v/>
      </c>
      <c r="W4">
        <f>"| axis ax | ("&amp;IF(ISBLANK(INDEX('Global Parameter'!$D:$D,MATCH("ax_x",'Global Parameter'!$A:$A,0))),"",INDEX('Global Parameter'!$D:$D,MATCH("ax_x",'Global Parameter'!$A:$A,0)))&amp;IF(ISBLANK(INDEX('Global Parameter'!$B:$B,MATCH("ax_x",'Global Parameter'!$A:$A,0))),"1",IF(INDEX('Global Parameter'!$B:$B,MATCH("ax_x",'Global Parameter'!$A:$A,0))="","1",INDEX('Global Parameter'!$B:$B,MATCH("ax_x",'Global Parameter'!$A:$A,0))))&amp;IF(ISBLANK(INDEX('Global Parameter'!$E:$E,MATCH("ax_x",'Global Parameter'!$A:$A,0))),"",INDEX('Global Parameter'!$E:$E,MATCH("ax_x",'Global Parameter'!$A:$A,0)))&amp;", "&amp;IF(ISBLANK(INDEX('Global Parameter'!$D:$D,MATCH("ax_y",'Global Parameter'!$A:$A,0))),"",INDEX('Global Parameter'!$D:$D,MATCH("ax_y",'Global Parameter'!$A:$A,0)))&amp;IF(ISBLANK(INDEX('Global Parameter'!$B:$B,MATCH("ax_y",'Global Parameter'!$A:$A,0))),"2",IF(INDEX('Global Parameter'!$B:$B,MATCH("ax_y",'Global Parameter'!$A:$A,0))="","2",INDEX('Global Parameter'!$B:$B,MATCH("ax_y",'Global Parameter'!$A:$A,0))))&amp;IF(ISBLANK(INDEX('Global Parameter'!$E:$E,MATCH("ax_y",'Global Parameter'!$A:$A,0))),"",INDEX('Global Parameter'!$E:$E,MATCH("ax_y",'Global Parameter'!$A:$A,0)))&amp;", "&amp;IF(ISBLANK(INDEX('Global Parameter'!$D:$D,MATCH("ax_z",'Global Parameter'!$A:$A,0))),"",INDEX('Global Parameter'!$D:$D,MATCH("ax_z",'Global Parameter'!$A:$A,0)))&amp;IF(ISBLANK(INDEX('Global Parameter'!$B:$B,MATCH("ax_z",'Global Parameter'!$A:$A,0))),"3",IF(INDEX('Global Parameter'!$B:$B,MATCH("ax_z",'Global Parameter'!$A:$A,0))="","3",INDEX('Global Parameter'!$B:$B,MATCH("ax_z",'Global Parameter'!$A:$A,0))))&amp;IF(ISBLANK(INDEX('Global Parameter'!$E:$E,MATCH("ax_z",'Global Parameter'!$A:$A,0))),"",INDEX('Global Parameter'!$E:$E,MATCH("ax_z",'Global Parameter'!$A:$A,0)))&amp;") | 模型 |"</f>
        <v/>
      </c>
      <c r="X4">
        <f>"| axis neg | ("&amp;IF(ISBLANK(INDEX('Global Parameter'!$D:$D,MATCH("neg_x",'Global Parameter'!$A:$A,0))),"",INDEX('Global Parameter'!$D:$D,MATCH("neg_x",'Global Parameter'!$A:$A,0)))&amp;IF(ISBLANK(INDEX('Global Parameter'!$B:$B,MATCH("neg_x",'Global Parameter'!$A:$A,0))),"",INDEX('Global Parameter'!$B:$B,MATCH("neg_x",'Global Parameter'!$A:$A,0)))&amp;IF(ISBLANK(INDEX('Global Parameter'!$E:$E,MATCH("neg_x",'Global Parameter'!$A:$A,0))),"",INDEX('Global Parameter'!$E:$E,MATCH("neg_x",'Global Parameter'!$A:$A,0)))&amp;" / "&amp;IF(ISBLANK(INDEX('Global Parameter'!$D:$D,MATCH("neg_y",'Global Parameter'!$A:$A,0))),"",INDEX('Global Parameter'!$D:$D,MATCH("neg_y",'Global Parameter'!$A:$A,0)))&amp;IF(ISBLANK(INDEX('Global Parameter'!$B:$B,MATCH("neg_y",'Global Parameter'!$A:$A,0))),"",INDEX('Global Parameter'!$B:$B,MATCH("neg_y",'Global Parameter'!$A:$A,0)))&amp;IF(ISBLANK(INDEX('Global Parameter'!$E:$E,MATCH("neg_y",'Global Parameter'!$A:$A,0))),"",INDEX('Global Parameter'!$E:$E,MATCH("neg_y",'Global Parameter'!$A:$A,0)))&amp;" / "&amp;IF(ISBLANK(INDEX('Global Parameter'!$D:$D,MATCH("neg_z",'Global Parameter'!$A:$A,0))),"",INDEX('Global Parameter'!$D:$D,MATCH("neg_z",'Global Parameter'!$A:$A,0)))&amp;IF(ISBLANK(INDEX('Global Parameter'!$B:$B,MATCH("neg_z",'Global Parameter'!$A:$A,0))),"",INDEX('Global Parameter'!$B:$B,MATCH("neg_z",'Global Parameter'!$A:$A,0)))&amp;IF(ISBLANK(INDEX('Global Parameter'!$E:$E,MATCH("neg_z",'Global Parameter'!$A:$A,0))),"",INDEX('Global Parameter'!$E:$E,MATCH("neg_z",'Global Parameter'!$A:$A,0)))&amp;") | 模型 |"</f>
        <v/>
      </c>
    </row>
    <row r="5"/>
    <row r="6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E127"/>
  <sheetViews>
    <sheetView workbookViewId="0">
      <selection activeCell="A1" sqref="A1"/>
    </sheetView>
  </sheetViews>
  <sheetFormatPr baseColWidth="8" defaultRowHeight="15"/>
  <cols>
    <col width="160" customWidth="1" min="2" max="2"/>
    <col width="160" customWidth="1" min="3" max="3"/>
    <col width="160" customWidth="1" min="4" max="4"/>
    <col width="160" customWidth="1" min="5" max="5"/>
  </cols>
  <sheetData>
    <row r="1">
      <c r="B1" s="19" t="inlineStr">
        <is>
          <t>WBT6-d8-mu90</t>
        </is>
      </c>
      <c r="C1" s="19" t="inlineStr">
        <is>
          <t>WBT6-d15.059-mu0</t>
        </is>
      </c>
      <c r="D1" s="19" t="inlineStr">
        <is>
          <t>WBT7-d20.559-mu90</t>
        </is>
      </c>
      <c r="E1" s="19" t="inlineStr">
        <is>
          <t>COT1-d20.559-mu60</t>
        </is>
      </c>
    </row>
    <row r="2">
      <c r="B2">
        <f>"// "&amp;'Local Parameter'!H$1</f>
        <v/>
      </c>
      <c r="C2">
        <f>"// "&amp;'Local Parameter'!I$1</f>
        <v/>
      </c>
      <c r="D2">
        <f>"// "&amp;'Local Parameter'!J$1</f>
        <v/>
      </c>
      <c r="E2">
        <f>"// "&amp;'Local Parameter'!K$1</f>
        <v/>
      </c>
    </row>
    <row r="3">
      <c r="B3">
        <f>"// See ext_body.js.j2 for why the coordinates go through temporaries."</f>
        <v/>
      </c>
      <c r="C3">
        <f>"// See ext_body.js.j2 for why the coordinates go through temporaries."</f>
        <v/>
      </c>
      <c r="D3">
        <f>"// See ext_body.js.j2 for why the coordinates go through temporaries."</f>
        <v/>
      </c>
      <c r="E3">
        <f>"// See ext_body.js.j2 for why the coordinates go through temporaries."</f>
        <v/>
      </c>
    </row>
    <row r="4">
      <c r="B4">
        <f>"var t1 = x;"</f>
        <v/>
      </c>
      <c r="C4">
        <f>"var t1 = x;"</f>
        <v/>
      </c>
      <c r="D4">
        <f>"var t1 = x;"</f>
        <v/>
      </c>
      <c r="E4">
        <f>"var t1 = x;"</f>
        <v/>
      </c>
    </row>
    <row r="5">
      <c r="B5">
        <f>"var t2 = y;"</f>
        <v/>
      </c>
      <c r="C5">
        <f>"var t2 = y;"</f>
        <v/>
      </c>
      <c r="D5">
        <f>"var t2 = y;"</f>
        <v/>
      </c>
      <c r="E5">
        <f>"var t2 = y;"</f>
        <v/>
      </c>
    </row>
    <row r="6">
      <c r="B6">
        <f>"var t3 = z;"</f>
        <v/>
      </c>
      <c r="C6">
        <f>"var t3 = z;"</f>
        <v/>
      </c>
      <c r="D6">
        <f>"var t3 = z;"</f>
        <v/>
      </c>
      <c r="E6">
        <f>"var t3 = z;"</f>
        <v/>
      </c>
    </row>
    <row r="7">
      <c r="B7">
        <f>"x = "&amp;IF(ISBLANK(INDEX('Global Parameter'!$D:$D,MATCH("neg_x",'Global Parameter'!$A:$A,0))),"",INDEX('Global Parameter'!$D:$D,MATCH("neg_x",'Global Parameter'!$A:$A,0)))&amp;IF(ISBLANK(INDEX('Global Parameter'!$B:$B,MATCH("neg_x",'Global Parameter'!$A:$A,0))),"",INDEX('Global Parameter'!$B:$B,MATCH("neg_x",'Global Parameter'!$A:$A,0)))&amp;IF(ISBLANK(INDEX('Global Parameter'!$E:$E,MATCH("neg_x",'Global Parameter'!$A:$A,0))),"",INDEX('Global Parameter'!$E:$E,MATCH("neg_x",'Global Parameter'!$A:$A,0)))&amp;"t"&amp;IF(ISBLANK(INDEX('Global Parameter'!$D:$D,MATCH("ax_x",'Global Parameter'!$A:$A,0))),"",INDEX('Global Parameter'!$D:$D,MATCH("ax_x",'Global Parameter'!$A:$A,0)))&amp;IF(ISBLANK(INDEX('Global Parameter'!$B:$B,MATCH("ax_x",'Global Parameter'!$A:$A,0))),"1",IF(INDEX('Global Parameter'!$B:$B,MATCH("ax_x",'Global Parameter'!$A:$A,0))="","1",INDEX('Global Parameter'!$B:$B,MATCH("ax_x",'Global Parameter'!$A:$A,0))))&amp;IF(ISBLANK(INDEX('Global Parameter'!$E:$E,MATCH("ax_x",'Global Parameter'!$A:$A,0))),"",INDEX('Global Parameter'!$E:$E,MATCH("ax_x",'Global Parameter'!$A:$A,0)))&amp;";"</f>
        <v/>
      </c>
      <c r="C7">
        <f>"x = "&amp;IF(ISBLANK(INDEX('Global Parameter'!$D:$D,MATCH("neg_x",'Global Parameter'!$A:$A,0))),"",INDEX('Global Parameter'!$D:$D,MATCH("neg_x",'Global Parameter'!$A:$A,0)))&amp;IF(ISBLANK(INDEX('Global Parameter'!$B:$B,MATCH("neg_x",'Global Parameter'!$A:$A,0))),"",INDEX('Global Parameter'!$B:$B,MATCH("neg_x",'Global Parameter'!$A:$A,0)))&amp;IF(ISBLANK(INDEX('Global Parameter'!$E:$E,MATCH("neg_x",'Global Parameter'!$A:$A,0))),"",INDEX('Global Parameter'!$E:$E,MATCH("neg_x",'Global Parameter'!$A:$A,0)))&amp;"t"&amp;IF(ISBLANK(INDEX('Global Parameter'!$D:$D,MATCH("ax_x",'Global Parameter'!$A:$A,0))),"",INDEX('Global Parameter'!$D:$D,MATCH("ax_x",'Global Parameter'!$A:$A,0)))&amp;IF(ISBLANK(INDEX('Global Parameter'!$B:$B,MATCH("ax_x",'Global Parameter'!$A:$A,0))),"1",IF(INDEX('Global Parameter'!$B:$B,MATCH("ax_x",'Global Parameter'!$A:$A,0))="","1",INDEX('Global Parameter'!$B:$B,MATCH("ax_x",'Global Parameter'!$A:$A,0))))&amp;IF(ISBLANK(INDEX('Global Parameter'!$E:$E,MATCH("ax_x",'Global Parameter'!$A:$A,0))),"",INDEX('Global Parameter'!$E:$E,MATCH("ax_x",'Global Parameter'!$A:$A,0)))&amp;";"</f>
        <v/>
      </c>
      <c r="D7">
        <f>"x = "&amp;IF(ISBLANK(INDEX('Global Parameter'!$D:$D,MATCH("neg_x",'Global Parameter'!$A:$A,0))),"",INDEX('Global Parameter'!$D:$D,MATCH("neg_x",'Global Parameter'!$A:$A,0)))&amp;IF(ISBLANK(INDEX('Global Parameter'!$B:$B,MATCH("neg_x",'Global Parameter'!$A:$A,0))),"",INDEX('Global Parameter'!$B:$B,MATCH("neg_x",'Global Parameter'!$A:$A,0)))&amp;IF(ISBLANK(INDEX('Global Parameter'!$E:$E,MATCH("neg_x",'Global Parameter'!$A:$A,0))),"",INDEX('Global Parameter'!$E:$E,MATCH("neg_x",'Global Parameter'!$A:$A,0)))&amp;"t"&amp;IF(ISBLANK(INDEX('Global Parameter'!$D:$D,MATCH("ax_x",'Global Parameter'!$A:$A,0))),"",INDEX('Global Parameter'!$D:$D,MATCH("ax_x",'Global Parameter'!$A:$A,0)))&amp;IF(ISBLANK(INDEX('Global Parameter'!$B:$B,MATCH("ax_x",'Global Parameter'!$A:$A,0))),"1",IF(INDEX('Global Parameter'!$B:$B,MATCH("ax_x",'Global Parameter'!$A:$A,0))="","1",INDEX('Global Parameter'!$B:$B,MATCH("ax_x",'Global Parameter'!$A:$A,0))))&amp;IF(ISBLANK(INDEX('Global Parameter'!$E:$E,MATCH("ax_x",'Global Parameter'!$A:$A,0))),"",INDEX('Global Parameter'!$E:$E,MATCH("ax_x",'Global Parameter'!$A:$A,0)))&amp;";"</f>
        <v/>
      </c>
      <c r="E7">
        <f>"x = "&amp;IF(ISBLANK(INDEX('Global Parameter'!$D:$D,MATCH("neg_x",'Global Parameter'!$A:$A,0))),"",INDEX('Global Parameter'!$D:$D,MATCH("neg_x",'Global Parameter'!$A:$A,0)))&amp;IF(ISBLANK(INDEX('Global Parameter'!$B:$B,MATCH("neg_x",'Global Parameter'!$A:$A,0))),"",INDEX('Global Parameter'!$B:$B,MATCH("neg_x",'Global Parameter'!$A:$A,0)))&amp;IF(ISBLANK(INDEX('Global Parameter'!$E:$E,MATCH("neg_x",'Global Parameter'!$A:$A,0))),"",INDEX('Global Parameter'!$E:$E,MATCH("neg_x",'Global Parameter'!$A:$A,0)))&amp;"t"&amp;IF(ISBLANK(INDEX('Global Parameter'!$D:$D,MATCH("ax_x",'Global Parameter'!$A:$A,0))),"",INDEX('Global Parameter'!$D:$D,MATCH("ax_x",'Global Parameter'!$A:$A,0)))&amp;IF(ISBLANK(INDEX('Global Parameter'!$B:$B,MATCH("ax_x",'Global Parameter'!$A:$A,0))),"1",IF(INDEX('Global Parameter'!$B:$B,MATCH("ax_x",'Global Parameter'!$A:$A,0))="","1",INDEX('Global Parameter'!$B:$B,MATCH("ax_x",'Global Parameter'!$A:$A,0))))&amp;IF(ISBLANK(INDEX('Global Parameter'!$E:$E,MATCH("ax_x",'Global Parameter'!$A:$A,0))),"",INDEX('Global Parameter'!$E:$E,MATCH("ax_x",'Global Parameter'!$A:$A,0)))&amp;";"</f>
        <v/>
      </c>
    </row>
    <row r="8">
      <c r="B8">
        <f>"y = "&amp;IF(ISBLANK(INDEX('Global Parameter'!$D:$D,MATCH("neg_y",'Global Parameter'!$A:$A,0))),"",INDEX('Global Parameter'!$D:$D,MATCH("neg_y",'Global Parameter'!$A:$A,0)))&amp;IF(ISBLANK(INDEX('Global Parameter'!$B:$B,MATCH("neg_y",'Global Parameter'!$A:$A,0))),"",INDEX('Global Parameter'!$B:$B,MATCH("neg_y",'Global Parameter'!$A:$A,0)))&amp;IF(ISBLANK(INDEX('Global Parameter'!$E:$E,MATCH("neg_y",'Global Parameter'!$A:$A,0))),"",INDEX('Global Parameter'!$E:$E,MATCH("neg_y",'Global Parameter'!$A:$A,0)))&amp;"t"&amp;IF(ISBLANK(INDEX('Global Parameter'!$D:$D,MATCH("ax_y",'Global Parameter'!$A:$A,0))),"",INDEX('Global Parameter'!$D:$D,MATCH("ax_y",'Global Parameter'!$A:$A,0)))&amp;IF(ISBLANK(INDEX('Global Parameter'!$B:$B,MATCH("ax_y",'Global Parameter'!$A:$A,0))),"2",IF(INDEX('Global Parameter'!$B:$B,MATCH("ax_y",'Global Parameter'!$A:$A,0))="","2",INDEX('Global Parameter'!$B:$B,MATCH("ax_y",'Global Parameter'!$A:$A,0))))&amp;IF(ISBLANK(INDEX('Global Parameter'!$E:$E,MATCH("ax_y",'Global Parameter'!$A:$A,0))),"",INDEX('Global Parameter'!$E:$E,MATCH("ax_y",'Global Parameter'!$A:$A,0)))&amp;";"</f>
        <v/>
      </c>
      <c r="C8">
        <f>"y = "&amp;IF(ISBLANK(INDEX('Global Parameter'!$D:$D,MATCH("neg_y",'Global Parameter'!$A:$A,0))),"",INDEX('Global Parameter'!$D:$D,MATCH("neg_y",'Global Parameter'!$A:$A,0)))&amp;IF(ISBLANK(INDEX('Global Parameter'!$B:$B,MATCH("neg_y",'Global Parameter'!$A:$A,0))),"",INDEX('Global Parameter'!$B:$B,MATCH("neg_y",'Global Parameter'!$A:$A,0)))&amp;IF(ISBLANK(INDEX('Global Parameter'!$E:$E,MATCH("neg_y",'Global Parameter'!$A:$A,0))),"",INDEX('Global Parameter'!$E:$E,MATCH("neg_y",'Global Parameter'!$A:$A,0)))&amp;"t"&amp;IF(ISBLANK(INDEX('Global Parameter'!$D:$D,MATCH("ax_y",'Global Parameter'!$A:$A,0))),"",INDEX('Global Parameter'!$D:$D,MATCH("ax_y",'Global Parameter'!$A:$A,0)))&amp;IF(ISBLANK(INDEX('Global Parameter'!$B:$B,MATCH("ax_y",'Global Parameter'!$A:$A,0))),"2",IF(INDEX('Global Parameter'!$B:$B,MATCH("ax_y",'Global Parameter'!$A:$A,0))="","2",INDEX('Global Parameter'!$B:$B,MATCH("ax_y",'Global Parameter'!$A:$A,0))))&amp;IF(ISBLANK(INDEX('Global Parameter'!$E:$E,MATCH("ax_y",'Global Parameter'!$A:$A,0))),"",INDEX('Global Parameter'!$E:$E,MATCH("ax_y",'Global Parameter'!$A:$A,0)))&amp;";"</f>
        <v/>
      </c>
      <c r="D8">
        <f>"y = "&amp;IF(ISBLANK(INDEX('Global Parameter'!$D:$D,MATCH("neg_y",'Global Parameter'!$A:$A,0))),"",INDEX('Global Parameter'!$D:$D,MATCH("neg_y",'Global Parameter'!$A:$A,0)))&amp;IF(ISBLANK(INDEX('Global Parameter'!$B:$B,MATCH("neg_y",'Global Parameter'!$A:$A,0))),"",INDEX('Global Parameter'!$B:$B,MATCH("neg_y",'Global Parameter'!$A:$A,0)))&amp;IF(ISBLANK(INDEX('Global Parameter'!$E:$E,MATCH("neg_y",'Global Parameter'!$A:$A,0))),"",INDEX('Global Parameter'!$E:$E,MATCH("neg_y",'Global Parameter'!$A:$A,0)))&amp;"t"&amp;IF(ISBLANK(INDEX('Global Parameter'!$D:$D,MATCH("ax_y",'Global Parameter'!$A:$A,0))),"",INDEX('Global Parameter'!$D:$D,MATCH("ax_y",'Global Parameter'!$A:$A,0)))&amp;IF(ISBLANK(INDEX('Global Parameter'!$B:$B,MATCH("ax_y",'Global Parameter'!$A:$A,0))),"2",IF(INDEX('Global Parameter'!$B:$B,MATCH("ax_y",'Global Parameter'!$A:$A,0))="","2",INDEX('Global Parameter'!$B:$B,MATCH("ax_y",'Global Parameter'!$A:$A,0))))&amp;IF(ISBLANK(INDEX('Global Parameter'!$E:$E,MATCH("ax_y",'Global Parameter'!$A:$A,0))),"",INDEX('Global Parameter'!$E:$E,MATCH("ax_y",'Global Parameter'!$A:$A,0)))&amp;";"</f>
        <v/>
      </c>
      <c r="E8">
        <f>"y = "&amp;IF(ISBLANK(INDEX('Global Parameter'!$D:$D,MATCH("neg_y",'Global Parameter'!$A:$A,0))),"",INDEX('Global Parameter'!$D:$D,MATCH("neg_y",'Global Parameter'!$A:$A,0)))&amp;IF(ISBLANK(INDEX('Global Parameter'!$B:$B,MATCH("neg_y",'Global Parameter'!$A:$A,0))),"",INDEX('Global Parameter'!$B:$B,MATCH("neg_y",'Global Parameter'!$A:$A,0)))&amp;IF(ISBLANK(INDEX('Global Parameter'!$E:$E,MATCH("neg_y",'Global Parameter'!$A:$A,0))),"",INDEX('Global Parameter'!$E:$E,MATCH("neg_y",'Global Parameter'!$A:$A,0)))&amp;"t"&amp;IF(ISBLANK(INDEX('Global Parameter'!$D:$D,MATCH("ax_y",'Global Parameter'!$A:$A,0))),"",INDEX('Global Parameter'!$D:$D,MATCH("ax_y",'Global Parameter'!$A:$A,0)))&amp;IF(ISBLANK(INDEX('Global Parameter'!$B:$B,MATCH("ax_y",'Global Parameter'!$A:$A,0))),"2",IF(INDEX('Global Parameter'!$B:$B,MATCH("ax_y",'Global Parameter'!$A:$A,0))="","2",INDEX('Global Parameter'!$B:$B,MATCH("ax_y",'Global Parameter'!$A:$A,0))))&amp;IF(ISBLANK(INDEX('Global Parameter'!$E:$E,MATCH("ax_y",'Global Parameter'!$A:$A,0))),"",INDEX('Global Parameter'!$E:$E,MATCH("ax_y",'Global Parameter'!$A:$A,0)))&amp;";"</f>
        <v/>
      </c>
    </row>
    <row r="9">
      <c r="B9">
        <f>"z = "&amp;IF(ISBLANK(INDEX('Global Parameter'!$D:$D,MATCH("neg_z",'Global Parameter'!$A:$A,0))),"",INDEX('Global Parameter'!$D:$D,MATCH("neg_z",'Global Parameter'!$A:$A,0)))&amp;IF(ISBLANK(INDEX('Global Parameter'!$B:$B,MATCH("neg_z",'Global Parameter'!$A:$A,0))),"",INDEX('Global Parameter'!$B:$B,MATCH("neg_z",'Global Parameter'!$A:$A,0)))&amp;IF(ISBLANK(INDEX('Global Parameter'!$E:$E,MATCH("neg_z",'Global Parameter'!$A:$A,0))),"",INDEX('Global Parameter'!$E:$E,MATCH("neg_z",'Global Parameter'!$A:$A,0)))&amp;"t"&amp;IF(ISBLANK(INDEX('Global Parameter'!$D:$D,MATCH("ax_z",'Global Parameter'!$A:$A,0))),"",INDEX('Global Parameter'!$D:$D,MATCH("ax_z",'Global Parameter'!$A:$A,0)))&amp;IF(ISBLANK(INDEX('Global Parameter'!$B:$B,MATCH("ax_z",'Global Parameter'!$A:$A,0))),"3",IF(INDEX('Global Parameter'!$B:$B,MATCH("ax_z",'Global Parameter'!$A:$A,0))="","3",INDEX('Global Parameter'!$B:$B,MATCH("ax_z",'Global Parameter'!$A:$A,0))))&amp;IF(ISBLANK(INDEX('Global Parameter'!$E:$E,MATCH("ax_z",'Global Parameter'!$A:$A,0))),"",INDEX('Global Parameter'!$E:$E,MATCH("ax_z",'Global Parameter'!$A:$A,0)))&amp;";"</f>
        <v/>
      </c>
      <c r="C9">
        <f>"z = "&amp;IF(ISBLANK(INDEX('Global Parameter'!$D:$D,MATCH("neg_z",'Global Parameter'!$A:$A,0))),"",INDEX('Global Parameter'!$D:$D,MATCH("neg_z",'Global Parameter'!$A:$A,0)))&amp;IF(ISBLANK(INDEX('Global Parameter'!$B:$B,MATCH("neg_z",'Global Parameter'!$A:$A,0))),"",INDEX('Global Parameter'!$B:$B,MATCH("neg_z",'Global Parameter'!$A:$A,0)))&amp;IF(ISBLANK(INDEX('Global Parameter'!$E:$E,MATCH("neg_z",'Global Parameter'!$A:$A,0))),"",INDEX('Global Parameter'!$E:$E,MATCH("neg_z",'Global Parameter'!$A:$A,0)))&amp;"t"&amp;IF(ISBLANK(INDEX('Global Parameter'!$D:$D,MATCH("ax_z",'Global Parameter'!$A:$A,0))),"",INDEX('Global Parameter'!$D:$D,MATCH("ax_z",'Global Parameter'!$A:$A,0)))&amp;IF(ISBLANK(INDEX('Global Parameter'!$B:$B,MATCH("ax_z",'Global Parameter'!$A:$A,0))),"3",IF(INDEX('Global Parameter'!$B:$B,MATCH("ax_z",'Global Parameter'!$A:$A,0))="","3",INDEX('Global Parameter'!$B:$B,MATCH("ax_z",'Global Parameter'!$A:$A,0))))&amp;IF(ISBLANK(INDEX('Global Parameter'!$E:$E,MATCH("ax_z",'Global Parameter'!$A:$A,0))),"",INDEX('Global Parameter'!$E:$E,MATCH("ax_z",'Global Parameter'!$A:$A,0)))&amp;";"</f>
        <v/>
      </c>
      <c r="D9">
        <f>"z = "&amp;IF(ISBLANK(INDEX('Global Parameter'!$D:$D,MATCH("neg_z",'Global Parameter'!$A:$A,0))),"",INDEX('Global Parameter'!$D:$D,MATCH("neg_z",'Global Parameter'!$A:$A,0)))&amp;IF(ISBLANK(INDEX('Global Parameter'!$B:$B,MATCH("neg_z",'Global Parameter'!$A:$A,0))),"",INDEX('Global Parameter'!$B:$B,MATCH("neg_z",'Global Parameter'!$A:$A,0)))&amp;IF(ISBLANK(INDEX('Global Parameter'!$E:$E,MATCH("neg_z",'Global Parameter'!$A:$A,0))),"",INDEX('Global Parameter'!$E:$E,MATCH("neg_z",'Global Parameter'!$A:$A,0)))&amp;"t"&amp;IF(ISBLANK(INDEX('Global Parameter'!$D:$D,MATCH("ax_z",'Global Parameter'!$A:$A,0))),"",INDEX('Global Parameter'!$D:$D,MATCH("ax_z",'Global Parameter'!$A:$A,0)))&amp;IF(ISBLANK(INDEX('Global Parameter'!$B:$B,MATCH("ax_z",'Global Parameter'!$A:$A,0))),"3",IF(INDEX('Global Parameter'!$B:$B,MATCH("ax_z",'Global Parameter'!$A:$A,0))="","3",INDEX('Global Parameter'!$B:$B,MATCH("ax_z",'Global Parameter'!$A:$A,0))))&amp;IF(ISBLANK(INDEX('Global Parameter'!$E:$E,MATCH("ax_z",'Global Parameter'!$A:$A,0))),"",INDEX('Global Parameter'!$E:$E,MATCH("ax_z",'Global Parameter'!$A:$A,0)))&amp;";"</f>
        <v/>
      </c>
      <c r="E9">
        <f>"z = "&amp;IF(ISBLANK(INDEX('Global Parameter'!$D:$D,MATCH("neg_z",'Global Parameter'!$A:$A,0))),"",INDEX('Global Parameter'!$D:$D,MATCH("neg_z",'Global Parameter'!$A:$A,0)))&amp;IF(ISBLANK(INDEX('Global Parameter'!$B:$B,MATCH("neg_z",'Global Parameter'!$A:$A,0))),"",INDEX('Global Parameter'!$B:$B,MATCH("neg_z",'Global Parameter'!$A:$A,0)))&amp;IF(ISBLANK(INDEX('Global Parameter'!$E:$E,MATCH("neg_z",'Global Parameter'!$A:$A,0))),"",INDEX('Global Parameter'!$E:$E,MATCH("neg_z",'Global Parameter'!$A:$A,0)))&amp;"t"&amp;IF(ISBLANK(INDEX('Global Parameter'!$D:$D,MATCH("ax_z",'Global Parameter'!$A:$A,0))),"",INDEX('Global Parameter'!$D:$D,MATCH("ax_z",'Global Parameter'!$A:$A,0)))&amp;IF(ISBLANK(INDEX('Global Parameter'!$B:$B,MATCH("ax_z",'Global Parameter'!$A:$A,0))),"3",IF(INDEX('Global Parameter'!$B:$B,MATCH("ax_z",'Global Parameter'!$A:$A,0))="","3",INDEX('Global Parameter'!$B:$B,MATCH("ax_z",'Global Parameter'!$A:$A,0))))&amp;IF(ISBLANK(INDEX('Global Parameter'!$E:$E,MATCH("ax_z",'Global Parameter'!$A:$A,0))),"",INDEX('Global Parameter'!$E:$E,MATCH("ax_z",'Global Parameter'!$A:$A,0)))&amp;";"</f>
        <v/>
      </c>
    </row>
    <row r="10">
      <c r="B10">
        <f>"// --- global parameters (same for every case)"</f>
        <v/>
      </c>
      <c r="C10">
        <f>"// --- global parameters (same for every case)"</f>
        <v/>
      </c>
      <c r="D10">
        <f>"// --- global parameters (same for every case)"</f>
        <v/>
      </c>
      <c r="E10">
        <f>"// --- global parameters (same for every case)"</f>
        <v/>
      </c>
    </row>
    <row r="11">
      <c r="B11">
        <f>"var L = "&amp;IF(ISBLANK(INDEX('Global Parameter'!$D:$D,MATCH("L",'Global Parameter'!$A:$A,0))),"",INDEX('Global Parameter'!$D:$D,MATCH("L",'Global Parameter'!$A:$A,0)))&amp;IF(ISBLANK(INDEX('Global Parameter'!$B:$B,MATCH("L",'Global Parameter'!$A:$A,0))),340,IF(INDEX('Global Parameter'!$B:$B,MATCH("L",'Global Parameter'!$A:$A,0))="",340,INDEX('Global Parameter'!$B:$B,MATCH("L",'Global Parameter'!$A:$A,0))))&amp;IF(ISBLANK(INDEX('Global Parameter'!$E:$E,MATCH("L",'Global Parameter'!$A:$A,0)))," m",IF(INDEX('Global Parameter'!$E:$E,MATCH("L",'Global Parameter'!$A:$A,0))=""," m",INDEX('Global Parameter'!$E:$E,MATCH("L",'Global Parameter'!$A:$A,0))))&amp;";"</f>
        <v/>
      </c>
      <c r="C11">
        <f>"var L = "&amp;IF(ISBLANK(INDEX('Global Parameter'!$D:$D,MATCH("L",'Global Parameter'!$A:$A,0))),"",INDEX('Global Parameter'!$D:$D,MATCH("L",'Global Parameter'!$A:$A,0)))&amp;IF(ISBLANK(INDEX('Global Parameter'!$B:$B,MATCH("L",'Global Parameter'!$A:$A,0))),340,IF(INDEX('Global Parameter'!$B:$B,MATCH("L",'Global Parameter'!$A:$A,0))="",340,INDEX('Global Parameter'!$B:$B,MATCH("L",'Global Parameter'!$A:$A,0))))&amp;IF(ISBLANK(INDEX('Global Parameter'!$E:$E,MATCH("L",'Global Parameter'!$A:$A,0)))," m",IF(INDEX('Global Parameter'!$E:$E,MATCH("L",'Global Parameter'!$A:$A,0))=""," m",INDEX('Global Parameter'!$E:$E,MATCH("L",'Global Parameter'!$A:$A,0))))&amp;";"</f>
        <v/>
      </c>
      <c r="D11">
        <f>"var L = "&amp;IF(ISBLANK(INDEX('Global Parameter'!$D:$D,MATCH("L",'Global Parameter'!$A:$A,0))),"",INDEX('Global Parameter'!$D:$D,MATCH("L",'Global Parameter'!$A:$A,0)))&amp;IF(ISBLANK(INDEX('Global Parameter'!$B:$B,MATCH("L",'Global Parameter'!$A:$A,0))),340,IF(INDEX('Global Parameter'!$B:$B,MATCH("L",'Global Parameter'!$A:$A,0))="",340,INDEX('Global Parameter'!$B:$B,MATCH("L",'Global Parameter'!$A:$A,0))))&amp;IF(ISBLANK(INDEX('Global Parameter'!$E:$E,MATCH("L",'Global Parameter'!$A:$A,0)))," m",IF(INDEX('Global Parameter'!$E:$E,MATCH("L",'Global Parameter'!$A:$A,0))=""," m",INDEX('Global Parameter'!$E:$E,MATCH("L",'Global Parameter'!$A:$A,0))))&amp;";"</f>
        <v/>
      </c>
      <c r="E11">
        <f>"var L = "&amp;IF(ISBLANK(INDEX('Global Parameter'!$D:$D,MATCH("L",'Global Parameter'!$A:$A,0))),"",INDEX('Global Parameter'!$D:$D,MATCH("L",'Global Parameter'!$A:$A,0)))&amp;IF(ISBLANK(INDEX('Global Parameter'!$B:$B,MATCH("L",'Global Parameter'!$A:$A,0))),340,IF(INDEX('Global Parameter'!$B:$B,MATCH("L",'Global Parameter'!$A:$A,0))="",340,INDEX('Global Parameter'!$B:$B,MATCH("L",'Global Parameter'!$A:$A,0))))&amp;IF(ISBLANK(INDEX('Global Parameter'!$E:$E,MATCH("L",'Global Parameter'!$A:$A,0)))," m",IF(INDEX('Global Parameter'!$E:$E,MATCH("L",'Global Parameter'!$A:$A,0))=""," m",INDEX('Global Parameter'!$E:$E,MATCH("L",'Global Parameter'!$A:$A,0))))&amp;";"</f>
        <v/>
      </c>
    </row>
    <row r="12">
      <c r="B12">
        <f>"var B = "&amp;IF(ISBLANK(INDEX('Global Parameter'!$D:$D,MATCH("B",'Global Parameter'!$A:$A,0))),"",INDEX('Global Parameter'!$D:$D,MATCH("B",'Global Parameter'!$A:$A,0)))&amp;IF(ISBLANK(INDEX('Global Parameter'!$B:$B,MATCH("B",'Global Parameter'!$A:$A,0))),64,IF(INDEX('Global Parameter'!$B:$B,MATCH("B",'Global Parameter'!$A:$A,0))="",64,INDEX('Global Parameter'!$B:$B,MATCH("B",'Global Parameter'!$A:$A,0))))&amp;IF(ISBLANK(INDEX('Global Parameter'!$E:$E,MATCH("B",'Global Parameter'!$A:$A,0)))," m",IF(INDEX('Global Parameter'!$E:$E,MATCH("B",'Global Parameter'!$A:$A,0))=""," m",INDEX('Global Parameter'!$E:$E,MATCH("B",'Global Parameter'!$A:$A,0))))&amp;";"</f>
        <v/>
      </c>
      <c r="C12">
        <f>"var B = "&amp;IF(ISBLANK(INDEX('Global Parameter'!$D:$D,MATCH("B",'Global Parameter'!$A:$A,0))),"",INDEX('Global Parameter'!$D:$D,MATCH("B",'Global Parameter'!$A:$A,0)))&amp;IF(ISBLANK(INDEX('Global Parameter'!$B:$B,MATCH("B",'Global Parameter'!$A:$A,0))),64,IF(INDEX('Global Parameter'!$B:$B,MATCH("B",'Global Parameter'!$A:$A,0))="",64,INDEX('Global Parameter'!$B:$B,MATCH("B",'Global Parameter'!$A:$A,0))))&amp;IF(ISBLANK(INDEX('Global Parameter'!$E:$E,MATCH("B",'Global Parameter'!$A:$A,0)))," m",IF(INDEX('Global Parameter'!$E:$E,MATCH("B",'Global Parameter'!$A:$A,0))=""," m",INDEX('Global Parameter'!$E:$E,MATCH("B",'Global Parameter'!$A:$A,0))))&amp;";"</f>
        <v/>
      </c>
      <c r="D12">
        <f>"var B = "&amp;IF(ISBLANK(INDEX('Global Parameter'!$D:$D,MATCH("B",'Global Parameter'!$A:$A,0))),"",INDEX('Global Parameter'!$D:$D,MATCH("B",'Global Parameter'!$A:$A,0)))&amp;IF(ISBLANK(INDEX('Global Parameter'!$B:$B,MATCH("B",'Global Parameter'!$A:$A,0))),64,IF(INDEX('Global Parameter'!$B:$B,MATCH("B",'Global Parameter'!$A:$A,0))="",64,INDEX('Global Parameter'!$B:$B,MATCH("B",'Global Parameter'!$A:$A,0))))&amp;IF(ISBLANK(INDEX('Global Parameter'!$E:$E,MATCH("B",'Global Parameter'!$A:$A,0)))," m",IF(INDEX('Global Parameter'!$E:$E,MATCH("B",'Global Parameter'!$A:$A,0))=""," m",INDEX('Global Parameter'!$E:$E,MATCH("B",'Global Parameter'!$A:$A,0))))&amp;";"</f>
        <v/>
      </c>
      <c r="E12">
        <f>"var B = "&amp;IF(ISBLANK(INDEX('Global Parameter'!$D:$D,MATCH("B",'Global Parameter'!$A:$A,0))),"",INDEX('Global Parameter'!$D:$D,MATCH("B",'Global Parameter'!$A:$A,0)))&amp;IF(ISBLANK(INDEX('Global Parameter'!$B:$B,MATCH("B",'Global Parameter'!$A:$A,0))),64,IF(INDEX('Global Parameter'!$B:$B,MATCH("B",'Global Parameter'!$A:$A,0))="",64,INDEX('Global Parameter'!$B:$B,MATCH("B",'Global Parameter'!$A:$A,0))))&amp;IF(ISBLANK(INDEX('Global Parameter'!$E:$E,MATCH("B",'Global Parameter'!$A:$A,0)))," m",IF(INDEX('Global Parameter'!$E:$E,MATCH("B",'Global Parameter'!$A:$A,0))=""," m",INDEX('Global Parameter'!$E:$E,MATCH("B",'Global Parameter'!$A:$A,0))))&amp;";"</f>
        <v/>
      </c>
    </row>
    <row r="13">
      <c r="B13">
        <f>"var D = "&amp;IF(ISBLANK(INDEX('Global Parameter'!$D:$D,MATCH("D",'Global Parameter'!$A:$A,0))),"",INDEX('Global Parameter'!$D:$D,MATCH("D",'Global Parameter'!$A:$A,0)))&amp;IF(ISBLANK(INDEX('Global Parameter'!$B:$B,MATCH("D",'Global Parameter'!$A:$A,0))),32,IF(INDEX('Global Parameter'!$B:$B,MATCH("D",'Global Parameter'!$A:$A,0))="",32,INDEX('Global Parameter'!$B:$B,MATCH("D",'Global Parameter'!$A:$A,0))))&amp;IF(ISBLANK(INDEX('Global Parameter'!$E:$E,MATCH("D",'Global Parameter'!$A:$A,0)))," m",IF(INDEX('Global Parameter'!$E:$E,MATCH("D",'Global Parameter'!$A:$A,0))=""," m",INDEX('Global Parameter'!$E:$E,MATCH("D",'Global Parameter'!$A:$A,0))))&amp;";"</f>
        <v/>
      </c>
      <c r="C13">
        <f>"var D = "&amp;IF(ISBLANK(INDEX('Global Parameter'!$D:$D,MATCH("D",'Global Parameter'!$A:$A,0))),"",INDEX('Global Parameter'!$D:$D,MATCH("D",'Global Parameter'!$A:$A,0)))&amp;IF(ISBLANK(INDEX('Global Parameter'!$B:$B,MATCH("D",'Global Parameter'!$A:$A,0))),32,IF(INDEX('Global Parameter'!$B:$B,MATCH("D",'Global Parameter'!$A:$A,0))="",32,INDEX('Global Parameter'!$B:$B,MATCH("D",'Global Parameter'!$A:$A,0))))&amp;IF(ISBLANK(INDEX('Global Parameter'!$E:$E,MATCH("D",'Global Parameter'!$A:$A,0)))," m",IF(INDEX('Global Parameter'!$E:$E,MATCH("D",'Global Parameter'!$A:$A,0))=""," m",INDEX('Global Parameter'!$E:$E,MATCH("D",'Global Parameter'!$A:$A,0))))&amp;";"</f>
        <v/>
      </c>
      <c r="D13">
        <f>"var D = "&amp;IF(ISBLANK(INDEX('Global Parameter'!$D:$D,MATCH("D",'Global Parameter'!$A:$A,0))),"",INDEX('Global Parameter'!$D:$D,MATCH("D",'Global Parameter'!$A:$A,0)))&amp;IF(ISBLANK(INDEX('Global Parameter'!$B:$B,MATCH("D",'Global Parameter'!$A:$A,0))),32,IF(INDEX('Global Parameter'!$B:$B,MATCH("D",'Global Parameter'!$A:$A,0))="",32,INDEX('Global Parameter'!$B:$B,MATCH("D",'Global Parameter'!$A:$A,0))))&amp;IF(ISBLANK(INDEX('Global Parameter'!$E:$E,MATCH("D",'Global Parameter'!$A:$A,0)))," m",IF(INDEX('Global Parameter'!$E:$E,MATCH("D",'Global Parameter'!$A:$A,0))=""," m",INDEX('Global Parameter'!$E:$E,MATCH("D",'Global Parameter'!$A:$A,0))))&amp;";"</f>
        <v/>
      </c>
      <c r="E13">
        <f>"var D = "&amp;IF(ISBLANK(INDEX('Global Parameter'!$D:$D,MATCH("D",'Global Parameter'!$A:$A,0))),"",INDEX('Global Parameter'!$D:$D,MATCH("D",'Global Parameter'!$A:$A,0)))&amp;IF(ISBLANK(INDEX('Global Parameter'!$B:$B,MATCH("D",'Global Parameter'!$A:$A,0))),32,IF(INDEX('Global Parameter'!$B:$B,MATCH("D",'Global Parameter'!$A:$A,0))="",32,INDEX('Global Parameter'!$B:$B,MATCH("D",'Global Parameter'!$A:$A,0))))&amp;IF(ISBLANK(INDEX('Global Parameter'!$E:$E,MATCH("D",'Global Parameter'!$A:$A,0)))," m",IF(INDEX('Global Parameter'!$E:$E,MATCH("D",'Global Parameter'!$A:$A,0))=""," m",INDEX('Global Parameter'!$E:$E,MATCH("D",'Global Parameter'!$A:$A,0))))&amp;";"</f>
        <v/>
      </c>
    </row>
    <row r="14">
      <c r="B14">
        <f>"var rho_sea = "&amp;IF(ISBLANK(INDEX('Global Parameter'!$D:$D,MATCH("rho_sea",'Global Parameter'!$A:$A,0))),"",INDEX('Global Parameter'!$D:$D,MATCH("rho_sea",'Global Parameter'!$A:$A,0)))&amp;IF(ISBLANK(INDEX('Global Parameter'!$B:$B,MATCH("rho_sea",'Global Parameter'!$A:$A,0))),1025,IF(INDEX('Global Parameter'!$B:$B,MATCH("rho_sea",'Global Parameter'!$A:$A,0))="",1025,INDEX('Global Parameter'!$B:$B,MATCH("rho_sea",'Global Parameter'!$A:$A,0))))&amp;IF(ISBLANK(INDEX('Global Parameter'!$E:$E,MATCH("rho_sea",'Global Parameter'!$A:$A,0)))," kg/m^3",IF(INDEX('Global Parameter'!$E:$E,MATCH("rho_sea",'Global Parameter'!$A:$A,0))=""," kg/m^3",INDEX('Global Parameter'!$E:$E,MATCH("rho_sea",'Global Parameter'!$A:$A,0))))&amp;";"</f>
        <v/>
      </c>
      <c r="C14">
        <f>"var rho_sea = "&amp;IF(ISBLANK(INDEX('Global Parameter'!$D:$D,MATCH("rho_sea",'Global Parameter'!$A:$A,0))),"",INDEX('Global Parameter'!$D:$D,MATCH("rho_sea",'Global Parameter'!$A:$A,0)))&amp;IF(ISBLANK(INDEX('Global Parameter'!$B:$B,MATCH("rho_sea",'Global Parameter'!$A:$A,0))),1025,IF(INDEX('Global Parameter'!$B:$B,MATCH("rho_sea",'Global Parameter'!$A:$A,0))="",1025,INDEX('Global Parameter'!$B:$B,MATCH("rho_sea",'Global Parameter'!$A:$A,0))))&amp;IF(ISBLANK(INDEX('Global Parameter'!$E:$E,MATCH("rho_sea",'Global Parameter'!$A:$A,0)))," kg/m^3",IF(INDEX('Global Parameter'!$E:$E,MATCH("rho_sea",'Global Parameter'!$A:$A,0))=""," kg/m^3",INDEX('Global Parameter'!$E:$E,MATCH("rho_sea",'Global Parameter'!$A:$A,0))))&amp;";"</f>
        <v/>
      </c>
      <c r="D14">
        <f>"var rho_sea = "&amp;IF(ISBLANK(INDEX('Global Parameter'!$D:$D,MATCH("rho_sea",'Global Parameter'!$A:$A,0))),"",INDEX('Global Parameter'!$D:$D,MATCH("rho_sea",'Global Parameter'!$A:$A,0)))&amp;IF(ISBLANK(INDEX('Global Parameter'!$B:$B,MATCH("rho_sea",'Global Parameter'!$A:$A,0))),1025,IF(INDEX('Global Parameter'!$B:$B,MATCH("rho_sea",'Global Parameter'!$A:$A,0))="",1025,INDEX('Global Parameter'!$B:$B,MATCH("rho_sea",'Global Parameter'!$A:$A,0))))&amp;IF(ISBLANK(INDEX('Global Parameter'!$E:$E,MATCH("rho_sea",'Global Parameter'!$A:$A,0)))," kg/m^3",IF(INDEX('Global Parameter'!$E:$E,MATCH("rho_sea",'Global Parameter'!$A:$A,0))=""," kg/m^3",INDEX('Global Parameter'!$E:$E,MATCH("rho_sea",'Global Parameter'!$A:$A,0))))&amp;";"</f>
        <v/>
      </c>
      <c r="E14">
        <f>"var rho_sea = "&amp;IF(ISBLANK(INDEX('Global Parameter'!$D:$D,MATCH("rho_sea",'Global Parameter'!$A:$A,0))),"",INDEX('Global Parameter'!$D:$D,MATCH("rho_sea",'Global Parameter'!$A:$A,0)))&amp;IF(ISBLANK(INDEX('Global Parameter'!$B:$B,MATCH("rho_sea",'Global Parameter'!$A:$A,0))),1025,IF(INDEX('Global Parameter'!$B:$B,MATCH("rho_sea",'Global Parameter'!$A:$A,0))="",1025,INDEX('Global Parameter'!$B:$B,MATCH("rho_sea",'Global Parameter'!$A:$A,0))))&amp;IF(ISBLANK(INDEX('Global Parameter'!$E:$E,MATCH("rho_sea",'Global Parameter'!$A:$A,0)))," kg/m^3",IF(INDEX('Global Parameter'!$E:$E,MATCH("rho_sea",'Global Parameter'!$A:$A,0))=""," kg/m^3",INDEX('Global Parameter'!$E:$E,MATCH("rho_sea",'Global Parameter'!$A:$A,0))))&amp;";"</f>
        <v/>
      </c>
    </row>
    <row r="15">
      <c r="B15">
        <f>"var g = "&amp;IF(ISBLANK(INDEX('Global Parameter'!$D:$D,MATCH("g",'Global Parameter'!$A:$A,0))),"",INDEX('Global Parameter'!$D:$D,MATCH("g",'Global Parameter'!$A:$A,0)))&amp;IF(ISBLANK(INDEX('Global Parameter'!$B:$B,MATCH("g",'Global Parameter'!$A:$A,0))),9.81,IF(INDEX('Global Parameter'!$B:$B,MATCH("g",'Global Parameter'!$A:$A,0))="",9.81,INDEX('Global Parameter'!$B:$B,MATCH("g",'Global Parameter'!$A:$A,0))))&amp;IF(ISBLANK(INDEX('Global Parameter'!$E:$E,MATCH("g",'Global Parameter'!$A:$A,0)))," m/s^2",IF(INDEX('Global Parameter'!$E:$E,MATCH("g",'Global Parameter'!$A:$A,0))=""," m/s^2",INDEX('Global Parameter'!$E:$E,MATCH("g",'Global Parameter'!$A:$A,0))))&amp;";"</f>
        <v/>
      </c>
      <c r="C15">
        <f>"var g = "&amp;IF(ISBLANK(INDEX('Global Parameter'!$D:$D,MATCH("g",'Global Parameter'!$A:$A,0))),"",INDEX('Global Parameter'!$D:$D,MATCH("g",'Global Parameter'!$A:$A,0)))&amp;IF(ISBLANK(INDEX('Global Parameter'!$B:$B,MATCH("g",'Global Parameter'!$A:$A,0))),9.81,IF(INDEX('Global Parameter'!$B:$B,MATCH("g",'Global Parameter'!$A:$A,0))="",9.81,INDEX('Global Parameter'!$B:$B,MATCH("g",'Global Parameter'!$A:$A,0))))&amp;IF(ISBLANK(INDEX('Global Parameter'!$E:$E,MATCH("g",'Global Parameter'!$A:$A,0)))," m/s^2",IF(INDEX('Global Parameter'!$E:$E,MATCH("g",'Global Parameter'!$A:$A,0))=""," m/s^2",INDEX('Global Parameter'!$E:$E,MATCH("g",'Global Parameter'!$A:$A,0))))&amp;";"</f>
        <v/>
      </c>
      <c r="D15">
        <f>"var g = "&amp;IF(ISBLANK(INDEX('Global Parameter'!$D:$D,MATCH("g",'Global Parameter'!$A:$A,0))),"",INDEX('Global Parameter'!$D:$D,MATCH("g",'Global Parameter'!$A:$A,0)))&amp;IF(ISBLANK(INDEX('Global Parameter'!$B:$B,MATCH("g",'Global Parameter'!$A:$A,0))),9.81,IF(INDEX('Global Parameter'!$B:$B,MATCH("g",'Global Parameter'!$A:$A,0))="",9.81,INDEX('Global Parameter'!$B:$B,MATCH("g",'Global Parameter'!$A:$A,0))))&amp;IF(ISBLANK(INDEX('Global Parameter'!$E:$E,MATCH("g",'Global Parameter'!$A:$A,0)))," m/s^2",IF(INDEX('Global Parameter'!$E:$E,MATCH("g",'Global Parameter'!$A:$A,0))=""," m/s^2",INDEX('Global Parameter'!$E:$E,MATCH("g",'Global Parameter'!$A:$A,0))))&amp;";"</f>
        <v/>
      </c>
      <c r="E15">
        <f>"var g = "&amp;IF(ISBLANK(INDEX('Global Parameter'!$D:$D,MATCH("g",'Global Parameter'!$A:$A,0))),"",INDEX('Global Parameter'!$D:$D,MATCH("g",'Global Parameter'!$A:$A,0)))&amp;IF(ISBLANK(INDEX('Global Parameter'!$B:$B,MATCH("g",'Global Parameter'!$A:$A,0))),9.81,IF(INDEX('Global Parameter'!$B:$B,MATCH("g",'Global Parameter'!$A:$A,0))="",9.81,INDEX('Global Parameter'!$B:$B,MATCH("g",'Global Parameter'!$A:$A,0))))&amp;IF(ISBLANK(INDEX('Global Parameter'!$E:$E,MATCH("g",'Global Parameter'!$A:$A,0)))," m/s^2",IF(INDEX('Global Parameter'!$E:$E,MATCH("g",'Global Parameter'!$A:$A,0))=""," m/s^2",INDEX('Global Parameter'!$E:$E,MATCH("g",'Global Parameter'!$A:$A,0))))&amp;";"</f>
        <v/>
      </c>
    </row>
    <row r="16">
      <c r="B16">
        <f>"var Cb = "&amp;IF(ISBLANK(INDEX('Global Parameter'!$D:$D,MATCH("Cb",'Global Parameter'!$A:$A,0))),"",INDEX('Global Parameter'!$D:$D,MATCH("Cb",'Global Parameter'!$A:$A,0)))&amp;IF(ISBLANK(INDEX('Global Parameter'!$B:$B,MATCH("Cb",'Global Parameter'!$A:$A,0))),1,IF(INDEX('Global Parameter'!$B:$B,MATCH("Cb",'Global Parameter'!$A:$A,0))="",1,INDEX('Global Parameter'!$B:$B,MATCH("Cb",'Global Parameter'!$A:$A,0))))&amp;IF(ISBLANK(INDEX('Global Parameter'!$E:$E,MATCH("Cb",'Global Parameter'!$A:$A,0))),"",INDEX('Global Parameter'!$E:$E,MATCH("Cb",'Global Parameter'!$A:$A,0)))&amp;";"</f>
        <v/>
      </c>
      <c r="C16">
        <f>"var Cb = "&amp;IF(ISBLANK(INDEX('Global Parameter'!$D:$D,MATCH("Cb",'Global Parameter'!$A:$A,0))),"",INDEX('Global Parameter'!$D:$D,MATCH("Cb",'Global Parameter'!$A:$A,0)))&amp;IF(ISBLANK(INDEX('Global Parameter'!$B:$B,MATCH("Cb",'Global Parameter'!$A:$A,0))),1,IF(INDEX('Global Parameter'!$B:$B,MATCH("Cb",'Global Parameter'!$A:$A,0))="",1,INDEX('Global Parameter'!$B:$B,MATCH("Cb",'Global Parameter'!$A:$A,0))))&amp;IF(ISBLANK(INDEX('Global Parameter'!$E:$E,MATCH("Cb",'Global Parameter'!$A:$A,0))),"",INDEX('Global Parameter'!$E:$E,MATCH("Cb",'Global Parameter'!$A:$A,0)))&amp;";"</f>
        <v/>
      </c>
      <c r="D16">
        <f>"var Cb = "&amp;IF(ISBLANK(INDEX('Global Parameter'!$D:$D,MATCH("Cb",'Global Parameter'!$A:$A,0))),"",INDEX('Global Parameter'!$D:$D,MATCH("Cb",'Global Parameter'!$A:$A,0)))&amp;IF(ISBLANK(INDEX('Global Parameter'!$B:$B,MATCH("Cb",'Global Parameter'!$A:$A,0))),1,IF(INDEX('Global Parameter'!$B:$B,MATCH("Cb",'Global Parameter'!$A:$A,0))="",1,INDEX('Global Parameter'!$B:$B,MATCH("Cb",'Global Parameter'!$A:$A,0))))&amp;IF(ISBLANK(INDEX('Global Parameter'!$E:$E,MATCH("Cb",'Global Parameter'!$A:$A,0))),"",INDEX('Global Parameter'!$E:$E,MATCH("Cb",'Global Parameter'!$A:$A,0)))&amp;";"</f>
        <v/>
      </c>
      <c r="E16">
        <f>"var Cb = "&amp;IF(ISBLANK(INDEX('Global Parameter'!$D:$D,MATCH("Cb",'Global Parameter'!$A:$A,0))),"",INDEX('Global Parameter'!$D:$D,MATCH("Cb",'Global Parameter'!$A:$A,0)))&amp;IF(ISBLANK(INDEX('Global Parameter'!$B:$B,MATCH("Cb",'Global Parameter'!$A:$A,0))),1,IF(INDEX('Global Parameter'!$B:$B,MATCH("Cb",'Global Parameter'!$A:$A,0))="",1,INDEX('Global Parameter'!$B:$B,MATCH("Cb",'Global Parameter'!$A:$A,0))))&amp;IF(ISBLANK(INDEX('Global Parameter'!$E:$E,MATCH("Cb",'Global Parameter'!$A:$A,0))),"",INDEX('Global Parameter'!$E:$E,MATCH("Cb",'Global Parameter'!$A:$A,0)))&amp;";"</f>
        <v/>
      </c>
    </row>
    <row r="17">
      <c r="B17">
        <f>"var d_f = "&amp;IF(ISBLANK(INDEX('Global Parameter'!$D:$D,MATCH("d_f",'Global Parameter'!$A:$A,0))),"",INDEX('Global Parameter'!$D:$D,MATCH("d_f",'Global Parameter'!$A:$A,0)))&amp;IF(ISBLANK(INDEX('Global Parameter'!$B:$B,MATCH("d_f",'Global Parameter'!$A:$A,0))),20.559,IF(INDEX('Global Parameter'!$B:$B,MATCH("d_f",'Global Parameter'!$A:$A,0))="",20.559,INDEX('Global Parameter'!$B:$B,MATCH("d_f",'Global Parameter'!$A:$A,0))))&amp;IF(ISBLANK(INDEX('Global Parameter'!$E:$E,MATCH("d_f",'Global Parameter'!$A:$A,0)))," m",IF(INDEX('Global Parameter'!$E:$E,MATCH("d_f",'Global Parameter'!$A:$A,0))=""," m",INDEX('Global Parameter'!$E:$E,MATCH("d_f",'Global Parameter'!$A:$A,0))))&amp;";"</f>
        <v/>
      </c>
      <c r="C17">
        <f>"var d_f = "&amp;IF(ISBLANK(INDEX('Global Parameter'!$D:$D,MATCH("d_f",'Global Parameter'!$A:$A,0))),"",INDEX('Global Parameter'!$D:$D,MATCH("d_f",'Global Parameter'!$A:$A,0)))&amp;IF(ISBLANK(INDEX('Global Parameter'!$B:$B,MATCH("d_f",'Global Parameter'!$A:$A,0))),20.559,IF(INDEX('Global Parameter'!$B:$B,MATCH("d_f",'Global Parameter'!$A:$A,0))="",20.559,INDEX('Global Parameter'!$B:$B,MATCH("d_f",'Global Parameter'!$A:$A,0))))&amp;IF(ISBLANK(INDEX('Global Parameter'!$E:$E,MATCH("d_f",'Global Parameter'!$A:$A,0)))," m",IF(INDEX('Global Parameter'!$E:$E,MATCH("d_f",'Global Parameter'!$A:$A,0))=""," m",INDEX('Global Parameter'!$E:$E,MATCH("d_f",'Global Parameter'!$A:$A,0))))&amp;";"</f>
        <v/>
      </c>
      <c r="D17">
        <f>"var d_f = "&amp;IF(ISBLANK(INDEX('Global Parameter'!$D:$D,MATCH("d_f",'Global Parameter'!$A:$A,0))),"",INDEX('Global Parameter'!$D:$D,MATCH("d_f",'Global Parameter'!$A:$A,0)))&amp;IF(ISBLANK(INDEX('Global Parameter'!$B:$B,MATCH("d_f",'Global Parameter'!$A:$A,0))),20.559,IF(INDEX('Global Parameter'!$B:$B,MATCH("d_f",'Global Parameter'!$A:$A,0))="",20.559,INDEX('Global Parameter'!$B:$B,MATCH("d_f",'Global Parameter'!$A:$A,0))))&amp;IF(ISBLANK(INDEX('Global Parameter'!$E:$E,MATCH("d_f",'Global Parameter'!$A:$A,0)))," m",IF(INDEX('Global Parameter'!$E:$E,MATCH("d_f",'Global Parameter'!$A:$A,0))=""," m",INDEX('Global Parameter'!$E:$E,MATCH("d_f",'Global Parameter'!$A:$A,0))))&amp;";"</f>
        <v/>
      </c>
      <c r="E17">
        <f>"var d_f = "&amp;IF(ISBLANK(INDEX('Global Parameter'!$D:$D,MATCH("d_f",'Global Parameter'!$A:$A,0))),"",INDEX('Global Parameter'!$D:$D,MATCH("d_f",'Global Parameter'!$A:$A,0)))&amp;IF(ISBLANK(INDEX('Global Parameter'!$B:$B,MATCH("d_f",'Global Parameter'!$A:$A,0))),20.559,IF(INDEX('Global Parameter'!$B:$B,MATCH("d_f",'Global Parameter'!$A:$A,0))="",20.559,INDEX('Global Parameter'!$B:$B,MATCH("d_f",'Global Parameter'!$A:$A,0))))&amp;IF(ISBLANK(INDEX('Global Parameter'!$E:$E,MATCH("d_f",'Global Parameter'!$A:$A,0)))," m",IF(INDEX('Global Parameter'!$E:$E,MATCH("d_f",'Global Parameter'!$A:$A,0))=""," m",INDEX('Global Parameter'!$E:$E,MATCH("d_f",'Global Parameter'!$A:$A,0))))&amp;";"</f>
        <v/>
      </c>
    </row>
    <row r="18">
      <c r="B18">
        <f>"var rho_g_lo = "&amp;IF(ISBLANK(INDEX('Global Parameter'!$D:$D,MATCH("rho_g_lo",'Global Parameter'!$A:$A,0))),"",INDEX('Global Parameter'!$D:$D,MATCH("rho_g_lo",'Global Parameter'!$A:$A,0)))&amp;IF(ISBLANK(INDEX('Global Parameter'!$B:$B,MATCH("rho_g_lo",'Global Parameter'!$A:$A,0))),10050,IF(INDEX('Global Parameter'!$B:$B,MATCH("rho_g_lo",'Global Parameter'!$A:$A,0))="",10050,INDEX('Global Parameter'!$B:$B,MATCH("rho_g_lo",'Global Parameter'!$A:$A,0))))&amp;IF(ISBLANK(INDEX('Global Parameter'!$E:$E,MATCH("rho_g_lo",'Global Parameter'!$A:$A,0)))," N/m^3",IF(INDEX('Global Parameter'!$E:$E,MATCH("rho_g_lo",'Global Parameter'!$A:$A,0))=""," N/m^3",INDEX('Global Parameter'!$E:$E,MATCH("rho_g_lo",'Global Parameter'!$A:$A,0))))&amp;";"</f>
        <v/>
      </c>
      <c r="C18">
        <f>"var rho_g_lo = "&amp;IF(ISBLANK(INDEX('Global Parameter'!$D:$D,MATCH("rho_g_lo",'Global Parameter'!$A:$A,0))),"",INDEX('Global Parameter'!$D:$D,MATCH("rho_g_lo",'Global Parameter'!$A:$A,0)))&amp;IF(ISBLANK(INDEX('Global Parameter'!$B:$B,MATCH("rho_g_lo",'Global Parameter'!$A:$A,0))),10050,IF(INDEX('Global Parameter'!$B:$B,MATCH("rho_g_lo",'Global Parameter'!$A:$A,0))="",10050,INDEX('Global Parameter'!$B:$B,MATCH("rho_g_lo",'Global Parameter'!$A:$A,0))))&amp;IF(ISBLANK(INDEX('Global Parameter'!$E:$E,MATCH("rho_g_lo",'Global Parameter'!$A:$A,0)))," N/m^3",IF(INDEX('Global Parameter'!$E:$E,MATCH("rho_g_lo",'Global Parameter'!$A:$A,0))=""," N/m^3",INDEX('Global Parameter'!$E:$E,MATCH("rho_g_lo",'Global Parameter'!$A:$A,0))))&amp;";"</f>
        <v/>
      </c>
      <c r="D18">
        <f>"var rho_g_lo = "&amp;IF(ISBLANK(INDEX('Global Parameter'!$D:$D,MATCH("rho_g_lo",'Global Parameter'!$A:$A,0))),"",INDEX('Global Parameter'!$D:$D,MATCH("rho_g_lo",'Global Parameter'!$A:$A,0)))&amp;IF(ISBLANK(INDEX('Global Parameter'!$B:$B,MATCH("rho_g_lo",'Global Parameter'!$A:$A,0))),10050,IF(INDEX('Global Parameter'!$B:$B,MATCH("rho_g_lo",'Global Parameter'!$A:$A,0))="",10050,INDEX('Global Parameter'!$B:$B,MATCH("rho_g_lo",'Global Parameter'!$A:$A,0))))&amp;IF(ISBLANK(INDEX('Global Parameter'!$E:$E,MATCH("rho_g_lo",'Global Parameter'!$A:$A,0)))," N/m^3",IF(INDEX('Global Parameter'!$E:$E,MATCH("rho_g_lo",'Global Parameter'!$A:$A,0))=""," N/m^3",INDEX('Global Parameter'!$E:$E,MATCH("rho_g_lo",'Global Parameter'!$A:$A,0))))&amp;";"</f>
        <v/>
      </c>
      <c r="E18">
        <f>"var rho_g_lo = "&amp;IF(ISBLANK(INDEX('Global Parameter'!$D:$D,MATCH("rho_g_lo",'Global Parameter'!$A:$A,0))),"",INDEX('Global Parameter'!$D:$D,MATCH("rho_g_lo",'Global Parameter'!$A:$A,0)))&amp;IF(ISBLANK(INDEX('Global Parameter'!$B:$B,MATCH("rho_g_lo",'Global Parameter'!$A:$A,0))),10050,IF(INDEX('Global Parameter'!$B:$B,MATCH("rho_g_lo",'Global Parameter'!$A:$A,0))="",10050,INDEX('Global Parameter'!$B:$B,MATCH("rho_g_lo",'Global Parameter'!$A:$A,0))))&amp;IF(ISBLANK(INDEX('Global Parameter'!$E:$E,MATCH("rho_g_lo",'Global Parameter'!$A:$A,0)))," N/m^3",IF(INDEX('Global Parameter'!$E:$E,MATCH("rho_g_lo",'Global Parameter'!$A:$A,0))=""," N/m^3",INDEX('Global Parameter'!$E:$E,MATCH("rho_g_lo",'Global Parameter'!$A:$A,0))))&amp;";"</f>
        <v/>
      </c>
    </row>
    <row r="19">
      <c r="B19">
        <f>"var rho_g_hi = "&amp;IF(ISBLANK(INDEX('Global Parameter'!$D:$D,MATCH("rho_g_hi",'Global Parameter'!$A:$A,0))),"",INDEX('Global Parameter'!$D:$D,MATCH("rho_g_hi",'Global Parameter'!$A:$A,0)))&amp;IF(ISBLANK(INDEX('Global Parameter'!$B:$B,MATCH("rho_g_hi",'Global Parameter'!$A:$A,0))),11180,IF(INDEX('Global Parameter'!$B:$B,MATCH("rho_g_hi",'Global Parameter'!$A:$A,0))="",11180,INDEX('Global Parameter'!$B:$B,MATCH("rho_g_hi",'Global Parameter'!$A:$A,0))))&amp;IF(ISBLANK(INDEX('Global Parameter'!$E:$E,MATCH("rho_g_hi",'Global Parameter'!$A:$A,0)))," N/m^3",IF(INDEX('Global Parameter'!$E:$E,MATCH("rho_g_hi",'Global Parameter'!$A:$A,0))=""," N/m^3",INDEX('Global Parameter'!$E:$E,MATCH("rho_g_hi",'Global Parameter'!$A:$A,0))))&amp;";"</f>
        <v/>
      </c>
      <c r="C19">
        <f>"var rho_g_hi = "&amp;IF(ISBLANK(INDEX('Global Parameter'!$D:$D,MATCH("rho_g_hi",'Global Parameter'!$A:$A,0))),"",INDEX('Global Parameter'!$D:$D,MATCH("rho_g_hi",'Global Parameter'!$A:$A,0)))&amp;IF(ISBLANK(INDEX('Global Parameter'!$B:$B,MATCH("rho_g_hi",'Global Parameter'!$A:$A,0))),11180,IF(INDEX('Global Parameter'!$B:$B,MATCH("rho_g_hi",'Global Parameter'!$A:$A,0))="",11180,INDEX('Global Parameter'!$B:$B,MATCH("rho_g_hi",'Global Parameter'!$A:$A,0))))&amp;IF(ISBLANK(INDEX('Global Parameter'!$E:$E,MATCH("rho_g_hi",'Global Parameter'!$A:$A,0)))," N/m^3",IF(INDEX('Global Parameter'!$E:$E,MATCH("rho_g_hi",'Global Parameter'!$A:$A,0))=""," N/m^3",INDEX('Global Parameter'!$E:$E,MATCH("rho_g_hi",'Global Parameter'!$A:$A,0))))&amp;";"</f>
        <v/>
      </c>
      <c r="D19">
        <f>"var rho_g_hi = "&amp;IF(ISBLANK(INDEX('Global Parameter'!$D:$D,MATCH("rho_g_hi",'Global Parameter'!$A:$A,0))),"",INDEX('Global Parameter'!$D:$D,MATCH("rho_g_hi",'Global Parameter'!$A:$A,0)))&amp;IF(ISBLANK(INDEX('Global Parameter'!$B:$B,MATCH("rho_g_hi",'Global Parameter'!$A:$A,0))),11180,IF(INDEX('Global Parameter'!$B:$B,MATCH("rho_g_hi",'Global Parameter'!$A:$A,0))="",11180,INDEX('Global Parameter'!$B:$B,MATCH("rho_g_hi",'Global Parameter'!$A:$A,0))))&amp;IF(ISBLANK(INDEX('Global Parameter'!$E:$E,MATCH("rho_g_hi",'Global Parameter'!$A:$A,0)))," N/m^3",IF(INDEX('Global Parameter'!$E:$E,MATCH("rho_g_hi",'Global Parameter'!$A:$A,0))=""," N/m^3",INDEX('Global Parameter'!$E:$E,MATCH("rho_g_hi",'Global Parameter'!$A:$A,0))))&amp;";"</f>
        <v/>
      </c>
      <c r="E19">
        <f>"var rho_g_hi = "&amp;IF(ISBLANK(INDEX('Global Parameter'!$D:$D,MATCH("rho_g_hi",'Global Parameter'!$A:$A,0))),"",INDEX('Global Parameter'!$D:$D,MATCH("rho_g_hi",'Global Parameter'!$A:$A,0)))&amp;IF(ISBLANK(INDEX('Global Parameter'!$B:$B,MATCH("rho_g_hi",'Global Parameter'!$A:$A,0))),11180,IF(INDEX('Global Parameter'!$B:$B,MATCH("rho_g_hi",'Global Parameter'!$A:$A,0))="",11180,INDEX('Global Parameter'!$B:$B,MATCH("rho_g_hi",'Global Parameter'!$A:$A,0))))&amp;IF(ISBLANK(INDEX('Global Parameter'!$E:$E,MATCH("rho_g_hi",'Global Parameter'!$A:$A,0)))," N/m^3",IF(INDEX('Global Parameter'!$E:$E,MATCH("rho_g_hi",'Global Parameter'!$A:$A,0))=""," N/m^3",INDEX('Global Parameter'!$E:$E,MATCH("rho_g_hi",'Global Parameter'!$A:$A,0))))&amp;";"</f>
        <v/>
      </c>
    </row>
    <row r="20">
      <c r="B20">
        <f>"// --- this case"</f>
        <v/>
      </c>
      <c r="C20">
        <f>"// --- this case"</f>
        <v/>
      </c>
      <c r="D20">
        <f>"// --- this case"</f>
        <v/>
      </c>
      <c r="E20">
        <f>"// --- this case"</f>
        <v/>
      </c>
    </row>
    <row r="21">
      <c r="B21">
        <f>"var draft = "&amp;IF(ISBLANK(INDEX('Local Parameter'!$C:$C,MATCH("draft",'Local Parameter'!$A:$A,0))),"",INDEX('Local Parameter'!$C:$C,MATCH("draft",'Local Parameter'!$A:$A,0)))&amp;IF(ISBLANK(INDEX('Local Parameter'!H:H,MATCH("draft",'Local Parameter'!$A:$A,0))),20.559,IF(INDEX('Local Parameter'!H:H,MATCH("draft",'Local Parameter'!$A:$A,0))="",20.559,INDEX('Local Parameter'!H:H,MATCH("draft",'Local Parameter'!$A:$A,0))))&amp;IF(ISBLANK(INDEX('Local Parameter'!$D:$D,MATCH("draft",'Local Parameter'!$A:$A,0)))," m",IF(INDEX('Local Parameter'!$D:$D,MATCH("draft",'Local Parameter'!$A:$A,0))=""," m",INDEX('Local Parameter'!$D:$D,MATCH("draft",'Local Parameter'!$A:$A,0))))&amp;";"</f>
        <v/>
      </c>
      <c r="C21">
        <f>"var draft = "&amp;IF(ISBLANK(INDEX('Local Parameter'!$C:$C,MATCH("draft",'Local Parameter'!$A:$A,0))),"",INDEX('Local Parameter'!$C:$C,MATCH("draft",'Local Parameter'!$A:$A,0)))&amp;IF(ISBLANK(INDEX('Local Parameter'!I:I,MATCH("draft",'Local Parameter'!$A:$A,0))),20.559,IF(INDEX('Local Parameter'!I:I,MATCH("draft",'Local Parameter'!$A:$A,0))="",20.559,INDEX('Local Parameter'!I:I,MATCH("draft",'Local Parameter'!$A:$A,0))))&amp;IF(ISBLANK(INDEX('Local Parameter'!$D:$D,MATCH("draft",'Local Parameter'!$A:$A,0)))," m",IF(INDEX('Local Parameter'!$D:$D,MATCH("draft",'Local Parameter'!$A:$A,0))=""," m",INDEX('Local Parameter'!$D:$D,MATCH("draft",'Local Parameter'!$A:$A,0))))&amp;";"</f>
        <v/>
      </c>
      <c r="D21">
        <f>"var draft = "&amp;IF(ISBLANK(INDEX('Local Parameter'!$C:$C,MATCH("draft",'Local Parameter'!$A:$A,0))),"",INDEX('Local Parameter'!$C:$C,MATCH("draft",'Local Parameter'!$A:$A,0)))&amp;IF(ISBLANK(INDEX('Local Parameter'!J:J,MATCH("draft",'Local Parameter'!$A:$A,0))),20.559,IF(INDEX('Local Parameter'!J:J,MATCH("draft",'Local Parameter'!$A:$A,0))="",20.559,INDEX('Local Parameter'!J:J,MATCH("draft",'Local Parameter'!$A:$A,0))))&amp;IF(ISBLANK(INDEX('Local Parameter'!$D:$D,MATCH("draft",'Local Parameter'!$A:$A,0)))," m",IF(INDEX('Local Parameter'!$D:$D,MATCH("draft",'Local Parameter'!$A:$A,0))=""," m",INDEX('Local Parameter'!$D:$D,MATCH("draft",'Local Parameter'!$A:$A,0))))&amp;";"</f>
        <v/>
      </c>
      <c r="E21">
        <f>"var draft = "&amp;IF(ISBLANK(INDEX('Local Parameter'!$C:$C,MATCH("draft",'Local Parameter'!$A:$A,0))),"",INDEX('Local Parameter'!$C:$C,MATCH("draft",'Local Parameter'!$A:$A,0)))&amp;IF(ISBLANK(INDEX('Local Parameter'!K:K,MATCH("draft",'Local Parameter'!$A:$A,0))),20.559,IF(INDEX('Local Parameter'!K:K,MATCH("draft",'Local Parameter'!$A:$A,0))="",20.559,INDEX('Local Parameter'!K:K,MATCH("draft",'Local Parameter'!$A:$A,0))))&amp;IF(ISBLANK(INDEX('Local Parameter'!$D:$D,MATCH("draft",'Local Parameter'!$A:$A,0)))," m",IF(INDEX('Local Parameter'!$D:$D,MATCH("draft",'Local Parameter'!$A:$A,0))=""," m",INDEX('Local Parameter'!$D:$D,MATCH("draft",'Local Parameter'!$A:$A,0))))&amp;";"</f>
        <v/>
      </c>
    </row>
    <row r="22">
      <c r="B22">
        <f>"var mu_deg = "&amp;IF(ISBLANK(INDEX('Local Parameter'!$C:$C,MATCH("mu_deg",'Local Parameter'!$A:$A,0))),"",INDEX('Local Parameter'!$C:$C,MATCH("mu_deg",'Local Parameter'!$A:$A,0)))&amp;IF(ISBLANK(INDEX('Local Parameter'!H:H,MATCH("mu_deg",'Local Parameter'!$A:$A,0))),90,IF(INDEX('Local Parameter'!H:H,MATCH("mu_deg",'Local Parameter'!$A:$A,0))="",90,INDEX('Local Parameter'!H:H,MATCH("mu_deg",'Local Parameter'!$A:$A,0))))&amp;IF(ISBLANK(INDEX('Local Parameter'!$D:$D,MATCH("mu_deg",'Local Parameter'!$A:$A,0)))," deg",IF(INDEX('Local Parameter'!$D:$D,MATCH("mu_deg",'Local Parameter'!$A:$A,0))=""," deg",INDEX('Local Parameter'!$D:$D,MATCH("mu_deg",'Local Parameter'!$A:$A,0))))&amp;";"</f>
        <v/>
      </c>
      <c r="C22">
        <f>"var mu_deg = "&amp;IF(ISBLANK(INDEX('Local Parameter'!$C:$C,MATCH("mu_deg",'Local Parameter'!$A:$A,0))),"",INDEX('Local Parameter'!$C:$C,MATCH("mu_deg",'Local Parameter'!$A:$A,0)))&amp;IF(ISBLANK(INDEX('Local Parameter'!I:I,MATCH("mu_deg",'Local Parameter'!$A:$A,0))),90,IF(INDEX('Local Parameter'!I:I,MATCH("mu_deg",'Local Parameter'!$A:$A,0))="",90,INDEX('Local Parameter'!I:I,MATCH("mu_deg",'Local Parameter'!$A:$A,0))))&amp;IF(ISBLANK(INDEX('Local Parameter'!$D:$D,MATCH("mu_deg",'Local Parameter'!$A:$A,0)))," deg",IF(INDEX('Local Parameter'!$D:$D,MATCH("mu_deg",'Local Parameter'!$A:$A,0))=""," deg",INDEX('Local Parameter'!$D:$D,MATCH("mu_deg",'Local Parameter'!$A:$A,0))))&amp;";"</f>
        <v/>
      </c>
      <c r="D22">
        <f>"var mu_deg = "&amp;IF(ISBLANK(INDEX('Local Parameter'!$C:$C,MATCH("mu_deg",'Local Parameter'!$A:$A,0))),"",INDEX('Local Parameter'!$C:$C,MATCH("mu_deg",'Local Parameter'!$A:$A,0)))&amp;IF(ISBLANK(INDEX('Local Parameter'!J:J,MATCH("mu_deg",'Local Parameter'!$A:$A,0))),90,IF(INDEX('Local Parameter'!J:J,MATCH("mu_deg",'Local Parameter'!$A:$A,0))="",90,INDEX('Local Parameter'!J:J,MATCH("mu_deg",'Local Parameter'!$A:$A,0))))&amp;IF(ISBLANK(INDEX('Local Parameter'!$D:$D,MATCH("mu_deg",'Local Parameter'!$A:$A,0)))," deg",IF(INDEX('Local Parameter'!$D:$D,MATCH("mu_deg",'Local Parameter'!$A:$A,0))=""," deg",INDEX('Local Parameter'!$D:$D,MATCH("mu_deg",'Local Parameter'!$A:$A,0))))&amp;";"</f>
        <v/>
      </c>
      <c r="E22">
        <f>"var mu_deg = "&amp;IF(ISBLANK(INDEX('Local Parameter'!$C:$C,MATCH("mu_deg",'Local Parameter'!$A:$A,0))),"",INDEX('Local Parameter'!$C:$C,MATCH("mu_deg",'Local Parameter'!$A:$A,0)))&amp;IF(ISBLANK(INDEX('Local Parameter'!K:K,MATCH("mu_deg",'Local Parameter'!$A:$A,0))),90,IF(INDEX('Local Parameter'!K:K,MATCH("mu_deg",'Local Parameter'!$A:$A,0))="",90,INDEX('Local Parameter'!K:K,MATCH("mu_deg",'Local Parameter'!$A:$A,0))))&amp;IF(ISBLANK(INDEX('Local Parameter'!$D:$D,MATCH("mu_deg",'Local Parameter'!$A:$A,0)))," deg",IF(INDEX('Local Parameter'!$D:$D,MATCH("mu_deg",'Local Parameter'!$A:$A,0))=""," deg",INDEX('Local Parameter'!$D:$D,MATCH("mu_deg",'Local Parameter'!$A:$A,0))))&amp;";"</f>
        <v/>
      </c>
    </row>
    <row r="23">
      <c r="B23">
        <f>"var k_c = "&amp;IF(ISBLANK(INDEX('Local Parameter'!$C:$C,MATCH("k_c",'Local Parameter'!$A:$A,0))),"",INDEX('Local Parameter'!$C:$C,MATCH("k_c",'Local Parameter'!$A:$A,0)))&amp;IF(ISBLANK(INDEX('Local Parameter'!H:H,MATCH("k_c",'Local Parameter'!$A:$A,0))),1,IF(INDEX('Local Parameter'!H:H,MATCH("k_c",'Local Parameter'!$A:$A,0))="",1,INDEX('Local Parameter'!H:H,MATCH("k_c",'Local Parameter'!$A:$A,0))))&amp;IF(ISBLANK(INDEX('Local Parameter'!$D:$D,MATCH("k_c",'Local Parameter'!$A:$A,0))),"",INDEX('Local Parameter'!$D:$D,MATCH("k_c",'Local Parameter'!$A:$A,0)))&amp;";"</f>
        <v/>
      </c>
      <c r="C23">
        <f>"var k_c = "&amp;IF(ISBLANK(INDEX('Local Parameter'!$C:$C,MATCH("k_c",'Local Parameter'!$A:$A,0))),"",INDEX('Local Parameter'!$C:$C,MATCH("k_c",'Local Parameter'!$A:$A,0)))&amp;IF(ISBLANK(INDEX('Local Parameter'!I:I,MATCH("k_c",'Local Parameter'!$A:$A,0))),1,IF(INDEX('Local Parameter'!I:I,MATCH("k_c",'Local Parameter'!$A:$A,0))="",1,INDEX('Local Parameter'!I:I,MATCH("k_c",'Local Parameter'!$A:$A,0))))&amp;IF(ISBLANK(INDEX('Local Parameter'!$D:$D,MATCH("k_c",'Local Parameter'!$A:$A,0))),"",INDEX('Local Parameter'!$D:$D,MATCH("k_c",'Local Parameter'!$A:$A,0)))&amp;";"</f>
        <v/>
      </c>
      <c r="D23">
        <f>"var k_c = "&amp;IF(ISBLANK(INDEX('Local Parameter'!$C:$C,MATCH("k_c",'Local Parameter'!$A:$A,0))),"",INDEX('Local Parameter'!$C:$C,MATCH("k_c",'Local Parameter'!$A:$A,0)))&amp;IF(ISBLANK(INDEX('Local Parameter'!J:J,MATCH("k_c",'Local Parameter'!$A:$A,0))),1,IF(INDEX('Local Parameter'!J:J,MATCH("k_c",'Local Parameter'!$A:$A,0))="",1,INDEX('Local Parameter'!J:J,MATCH("k_c",'Local Parameter'!$A:$A,0))))&amp;IF(ISBLANK(INDEX('Local Parameter'!$D:$D,MATCH("k_c",'Local Parameter'!$A:$A,0))),"",INDEX('Local Parameter'!$D:$D,MATCH("k_c",'Local Parameter'!$A:$A,0)))&amp;";"</f>
        <v/>
      </c>
      <c r="E23">
        <f>"var k_c = "&amp;IF(ISBLANK(INDEX('Local Parameter'!$C:$C,MATCH("k_c",'Local Parameter'!$A:$A,0))),"",INDEX('Local Parameter'!$C:$C,MATCH("k_c",'Local Parameter'!$A:$A,0)))&amp;IF(ISBLANK(INDEX('Local Parameter'!K:K,MATCH("k_c",'Local Parameter'!$A:$A,0))),1,IF(INDEX('Local Parameter'!K:K,MATCH("k_c",'Local Parameter'!$A:$A,0))="",1,INDEX('Local Parameter'!K:K,MATCH("k_c",'Local Parameter'!$A:$A,0))))&amp;IF(ISBLANK(INDEX('Local Parameter'!$D:$D,MATCH("k_c",'Local Parameter'!$A:$A,0))),"",INDEX('Local Parameter'!$D:$D,MATCH("k_c",'Local Parameter'!$A:$A,0)))&amp;";"</f>
        <v/>
      </c>
    </row>
    <row r="24">
      <c r="B24">
        <f>"var k_u = "&amp;IF(ISBLANK(INDEX('Local Parameter'!$C:$C,MATCH("k_u",'Local Parameter'!$A:$A,0))),"",INDEX('Local Parameter'!$C:$C,MATCH("k_u",'Local Parameter'!$A:$A,0)))&amp;IF(ISBLANK(INDEX('Local Parameter'!H:H,MATCH("k_u",'Local Parameter'!$A:$A,0))),1.1,IF(INDEX('Local Parameter'!H:H,MATCH("k_u",'Local Parameter'!$A:$A,0))="",1.1,INDEX('Local Parameter'!H:H,MATCH("k_u",'Local Parameter'!$A:$A,0))))&amp;IF(ISBLANK(INDEX('Local Parameter'!$D:$D,MATCH("k_u",'Local Parameter'!$A:$A,0))),"",INDEX('Local Parameter'!$D:$D,MATCH("k_u",'Local Parameter'!$A:$A,0)))&amp;";"</f>
        <v/>
      </c>
      <c r="C24">
        <f>"var k_u = "&amp;IF(ISBLANK(INDEX('Local Parameter'!$C:$C,MATCH("k_u",'Local Parameter'!$A:$A,0))),"",INDEX('Local Parameter'!$C:$C,MATCH("k_u",'Local Parameter'!$A:$A,0)))&amp;IF(ISBLANK(INDEX('Local Parameter'!I:I,MATCH("k_u",'Local Parameter'!$A:$A,0))),1.1,IF(INDEX('Local Parameter'!I:I,MATCH("k_u",'Local Parameter'!$A:$A,0))="",1.1,INDEX('Local Parameter'!I:I,MATCH("k_u",'Local Parameter'!$A:$A,0))))&amp;IF(ISBLANK(INDEX('Local Parameter'!$D:$D,MATCH("k_u",'Local Parameter'!$A:$A,0))),"",INDEX('Local Parameter'!$D:$D,MATCH("k_u",'Local Parameter'!$A:$A,0)))&amp;";"</f>
        <v/>
      </c>
      <c r="D24">
        <f>"var k_u = "&amp;IF(ISBLANK(INDEX('Local Parameter'!$C:$C,MATCH("k_u",'Local Parameter'!$A:$A,0))),"",INDEX('Local Parameter'!$C:$C,MATCH("k_u",'Local Parameter'!$A:$A,0)))&amp;IF(ISBLANK(INDEX('Local Parameter'!J:J,MATCH("k_u",'Local Parameter'!$A:$A,0))),1.1,IF(INDEX('Local Parameter'!J:J,MATCH("k_u",'Local Parameter'!$A:$A,0))="",1.1,INDEX('Local Parameter'!J:J,MATCH("k_u",'Local Parameter'!$A:$A,0))))&amp;IF(ISBLANK(INDEX('Local Parameter'!$D:$D,MATCH("k_u",'Local Parameter'!$A:$A,0))),"",INDEX('Local Parameter'!$D:$D,MATCH("k_u",'Local Parameter'!$A:$A,0)))&amp;";"</f>
        <v/>
      </c>
      <c r="E24">
        <f>"var k_u = "&amp;IF(ISBLANK(INDEX('Local Parameter'!$C:$C,MATCH("k_u",'Local Parameter'!$A:$A,0))),"",INDEX('Local Parameter'!$C:$C,MATCH("k_u",'Local Parameter'!$A:$A,0)))&amp;IF(ISBLANK(INDEX('Local Parameter'!K:K,MATCH("k_u",'Local Parameter'!$A:$A,0))),1.1,IF(INDEX('Local Parameter'!K:K,MATCH("k_u",'Local Parameter'!$A:$A,0))="",1.1,INDEX('Local Parameter'!K:K,MATCH("k_u",'Local Parameter'!$A:$A,0))))&amp;IF(ISBLANK(INDEX('Local Parameter'!$D:$D,MATCH("k_u",'Local Parameter'!$A:$A,0))),"",INDEX('Local Parameter'!$D:$D,MATCH("k_u",'Local Parameter'!$A:$A,0)))&amp;";"</f>
        <v/>
      </c>
    </row>
    <row r="25">
      <c r="B25">
        <f>"var beta_VAC = "&amp;IF(ISBLANK(INDEX('Local Parameter'!$C:$C,MATCH("beta_VAC",'Local Parameter'!$A:$A,0))),"",INDEX('Local Parameter'!$C:$C,MATCH("beta_VAC",'Local Parameter'!$A:$A,0)))&amp;IF(ISBLANK(INDEX('Local Parameter'!H:H,MATCH("beta_VAC",'Local Parameter'!$A:$A,0))),0.66,IF(INDEX('Local Parameter'!H:H,MATCH("beta_VAC",'Local Parameter'!$A:$A,0))="",0.66,INDEX('Local Parameter'!H:H,MATCH("beta_VAC",'Local Parameter'!$A:$A,0))))&amp;IF(ISBLANK(INDEX('Local Parameter'!$D:$D,MATCH("beta_VAC",'Local Parameter'!$A:$A,0))),"",INDEX('Local Parameter'!$D:$D,MATCH("beta_VAC",'Local Parameter'!$A:$A,0)))&amp;";"</f>
        <v/>
      </c>
      <c r="C25">
        <f>"var beta_VAC = "&amp;IF(ISBLANK(INDEX('Local Parameter'!$C:$C,MATCH("beta_VAC",'Local Parameter'!$A:$A,0))),"",INDEX('Local Parameter'!$C:$C,MATCH("beta_VAC",'Local Parameter'!$A:$A,0)))&amp;IF(ISBLANK(INDEX('Local Parameter'!I:I,MATCH("beta_VAC",'Local Parameter'!$A:$A,0))),0.66,IF(INDEX('Local Parameter'!I:I,MATCH("beta_VAC",'Local Parameter'!$A:$A,0))="",0.66,INDEX('Local Parameter'!I:I,MATCH("beta_VAC",'Local Parameter'!$A:$A,0))))&amp;IF(ISBLANK(INDEX('Local Parameter'!$D:$D,MATCH("beta_VAC",'Local Parameter'!$A:$A,0))),"",INDEX('Local Parameter'!$D:$D,MATCH("beta_VAC",'Local Parameter'!$A:$A,0)))&amp;";"</f>
        <v/>
      </c>
      <c r="D25">
        <f>"var beta_VAC = "&amp;IF(ISBLANK(INDEX('Local Parameter'!$C:$C,MATCH("beta_VAC",'Local Parameter'!$A:$A,0))),"",INDEX('Local Parameter'!$C:$C,MATCH("beta_VAC",'Local Parameter'!$A:$A,0)))&amp;IF(ISBLANK(INDEX('Local Parameter'!J:J,MATCH("beta_VAC",'Local Parameter'!$A:$A,0))),0.66,IF(INDEX('Local Parameter'!J:J,MATCH("beta_VAC",'Local Parameter'!$A:$A,0))="",0.66,INDEX('Local Parameter'!J:J,MATCH("beta_VAC",'Local Parameter'!$A:$A,0))))&amp;IF(ISBLANK(INDEX('Local Parameter'!$D:$D,MATCH("beta_VAC",'Local Parameter'!$A:$A,0))),"",INDEX('Local Parameter'!$D:$D,MATCH("beta_VAC",'Local Parameter'!$A:$A,0)))&amp;";"</f>
        <v/>
      </c>
      <c r="E25">
        <f>"var beta_VAC = "&amp;IF(ISBLANK(INDEX('Local Parameter'!$C:$C,MATCH("beta_VAC",'Local Parameter'!$A:$A,0))),"",INDEX('Local Parameter'!$C:$C,MATCH("beta_VAC",'Local Parameter'!$A:$A,0)))&amp;IF(ISBLANK(INDEX('Local Parameter'!K:K,MATCH("beta_VAC",'Local Parameter'!$A:$A,0))),0.66,IF(INDEX('Local Parameter'!K:K,MATCH("beta_VAC",'Local Parameter'!$A:$A,0))="",0.66,INDEX('Local Parameter'!K:K,MATCH("beta_VAC",'Local Parameter'!$A:$A,0))))&amp;IF(ISBLANK(INDEX('Local Parameter'!$D:$D,MATCH("beta_VAC",'Local Parameter'!$A:$A,0))),"",INDEX('Local Parameter'!$D:$D,MATCH("beta_VAC",'Local Parameter'!$A:$A,0)))&amp;";"</f>
        <v/>
      </c>
    </row>
    <row r="26">
      <c r="B26">
        <f>"var beta_LAC = "&amp;IF(ISBLANK(INDEX('Local Parameter'!$C:$C,MATCH("beta_LAC",'Local Parameter'!$A:$A,0))),"",INDEX('Local Parameter'!$C:$C,MATCH("beta_LAC",'Local Parameter'!$A:$A,0)))&amp;IF(ISBLANK(INDEX('Local Parameter'!H:H,MATCH("beta_LAC",'Local Parameter'!$A:$A,0))),0.758,IF(INDEX('Local Parameter'!H:H,MATCH("beta_LAC",'Local Parameter'!$A:$A,0))="",0.758,INDEX('Local Parameter'!H:H,MATCH("beta_LAC",'Local Parameter'!$A:$A,0))))&amp;IF(ISBLANK(INDEX('Local Parameter'!$D:$D,MATCH("beta_LAC",'Local Parameter'!$A:$A,0))),"",INDEX('Local Parameter'!$D:$D,MATCH("beta_LAC",'Local Parameter'!$A:$A,0)))&amp;";"</f>
        <v/>
      </c>
      <c r="C26">
        <f>"var beta_LAC = "&amp;IF(ISBLANK(INDEX('Local Parameter'!$C:$C,MATCH("beta_LAC",'Local Parameter'!$A:$A,0))),"",INDEX('Local Parameter'!$C:$C,MATCH("beta_LAC",'Local Parameter'!$A:$A,0)))&amp;IF(ISBLANK(INDEX('Local Parameter'!I:I,MATCH("beta_LAC",'Local Parameter'!$A:$A,0))),0.758,IF(INDEX('Local Parameter'!I:I,MATCH("beta_LAC",'Local Parameter'!$A:$A,0))="",0.758,INDEX('Local Parameter'!I:I,MATCH("beta_LAC",'Local Parameter'!$A:$A,0))))&amp;IF(ISBLANK(INDEX('Local Parameter'!$D:$D,MATCH("beta_LAC",'Local Parameter'!$A:$A,0))),"",INDEX('Local Parameter'!$D:$D,MATCH("beta_LAC",'Local Parameter'!$A:$A,0)))&amp;";"</f>
        <v/>
      </c>
      <c r="D26">
        <f>"var beta_LAC = "&amp;IF(ISBLANK(INDEX('Local Parameter'!$C:$C,MATCH("beta_LAC",'Local Parameter'!$A:$A,0))),"",INDEX('Local Parameter'!$C:$C,MATCH("beta_LAC",'Local Parameter'!$A:$A,0)))&amp;IF(ISBLANK(INDEX('Local Parameter'!J:J,MATCH("beta_LAC",'Local Parameter'!$A:$A,0))),0.758,IF(INDEX('Local Parameter'!J:J,MATCH("beta_LAC",'Local Parameter'!$A:$A,0))="",0.758,INDEX('Local Parameter'!J:J,MATCH("beta_LAC",'Local Parameter'!$A:$A,0))))&amp;IF(ISBLANK(INDEX('Local Parameter'!$D:$D,MATCH("beta_LAC",'Local Parameter'!$A:$A,0))),"",INDEX('Local Parameter'!$D:$D,MATCH("beta_LAC",'Local Parameter'!$A:$A,0)))&amp;";"</f>
        <v/>
      </c>
      <c r="E26">
        <f>"var beta_LAC = "&amp;IF(ISBLANK(INDEX('Local Parameter'!$C:$C,MATCH("beta_LAC",'Local Parameter'!$A:$A,0))),"",INDEX('Local Parameter'!$C:$C,MATCH("beta_LAC",'Local Parameter'!$A:$A,0)))&amp;IF(ISBLANK(INDEX('Local Parameter'!K:K,MATCH("beta_LAC",'Local Parameter'!$A:$A,0))),0.758,IF(INDEX('Local Parameter'!K:K,MATCH("beta_LAC",'Local Parameter'!$A:$A,0))="",0.758,INDEX('Local Parameter'!K:K,MATCH("beta_LAC",'Local Parameter'!$A:$A,0))))&amp;IF(ISBLANK(INDEX('Local Parameter'!$D:$D,MATCH("beta_LAC",'Local Parameter'!$A:$A,0))),"",INDEX('Local Parameter'!$D:$D,MATCH("beta_LAC",'Local Parameter'!$A:$A,0)))&amp;";"</f>
        <v/>
      </c>
    </row>
    <row r="27">
      <c r="B27">
        <f>"var beta_TAC = "&amp;IF(ISBLANK(INDEX('Local Parameter'!$C:$C,MATCH("beta_TAC",'Local Parameter'!$A:$A,0))),"",INDEX('Local Parameter'!$C:$C,MATCH("beta_TAC",'Local Parameter'!$A:$A,0)))&amp;IF(ISBLANK(INDEX('Local Parameter'!H:H,MATCH("beta_TAC",'Local Parameter'!$A:$A,0))),0.557,IF(INDEX('Local Parameter'!H:H,MATCH("beta_TAC",'Local Parameter'!$A:$A,0))="",0.557,INDEX('Local Parameter'!H:H,MATCH("beta_TAC",'Local Parameter'!$A:$A,0))))&amp;IF(ISBLANK(INDEX('Local Parameter'!$D:$D,MATCH("beta_TAC",'Local Parameter'!$A:$A,0))),"",INDEX('Local Parameter'!$D:$D,MATCH("beta_TAC",'Local Parameter'!$A:$A,0)))&amp;";"</f>
        <v/>
      </c>
      <c r="C27">
        <f>"var beta_TAC = "&amp;IF(ISBLANK(INDEX('Local Parameter'!$C:$C,MATCH("beta_TAC",'Local Parameter'!$A:$A,0))),"",INDEX('Local Parameter'!$C:$C,MATCH("beta_TAC",'Local Parameter'!$A:$A,0)))&amp;IF(ISBLANK(INDEX('Local Parameter'!I:I,MATCH("beta_TAC",'Local Parameter'!$A:$A,0))),0.557,IF(INDEX('Local Parameter'!I:I,MATCH("beta_TAC",'Local Parameter'!$A:$A,0))="",0.557,INDEX('Local Parameter'!I:I,MATCH("beta_TAC",'Local Parameter'!$A:$A,0))))&amp;IF(ISBLANK(INDEX('Local Parameter'!$D:$D,MATCH("beta_TAC",'Local Parameter'!$A:$A,0))),"",INDEX('Local Parameter'!$D:$D,MATCH("beta_TAC",'Local Parameter'!$A:$A,0)))&amp;";"</f>
        <v/>
      </c>
      <c r="D27">
        <f>"var beta_TAC = "&amp;IF(ISBLANK(INDEX('Local Parameter'!$C:$C,MATCH("beta_TAC",'Local Parameter'!$A:$A,0))),"",INDEX('Local Parameter'!$C:$C,MATCH("beta_TAC",'Local Parameter'!$A:$A,0)))&amp;IF(ISBLANK(INDEX('Local Parameter'!J:J,MATCH("beta_TAC",'Local Parameter'!$A:$A,0))),0.557,IF(INDEX('Local Parameter'!J:J,MATCH("beta_TAC",'Local Parameter'!$A:$A,0))="",0.557,INDEX('Local Parameter'!J:J,MATCH("beta_TAC",'Local Parameter'!$A:$A,0))))&amp;IF(ISBLANK(INDEX('Local Parameter'!$D:$D,MATCH("beta_TAC",'Local Parameter'!$A:$A,0))),"",INDEX('Local Parameter'!$D:$D,MATCH("beta_TAC",'Local Parameter'!$A:$A,0)))&amp;";"</f>
        <v/>
      </c>
      <c r="E27">
        <f>"var beta_TAC = "&amp;IF(ISBLANK(INDEX('Local Parameter'!$C:$C,MATCH("beta_TAC",'Local Parameter'!$A:$A,0))),"",INDEX('Local Parameter'!$C:$C,MATCH("beta_TAC",'Local Parameter'!$A:$A,0)))&amp;IF(ISBLANK(INDEX('Local Parameter'!K:K,MATCH("beta_TAC",'Local Parameter'!$A:$A,0))),0.557,IF(INDEX('Local Parameter'!K:K,MATCH("beta_TAC",'Local Parameter'!$A:$A,0))="",0.557,INDEX('Local Parameter'!K:K,MATCH("beta_TAC",'Local Parameter'!$A:$A,0))))&amp;IF(ISBLANK(INDEX('Local Parameter'!$D:$D,MATCH("beta_TAC",'Local Parameter'!$A:$A,0))),"",INDEX('Local Parameter'!$D:$D,MATCH("beta_TAC",'Local Parameter'!$A:$A,0)))&amp;";"</f>
        <v/>
      </c>
    </row>
    <row r="28">
      <c r="B28">
        <f>"var beta_PMO = "&amp;IF(ISBLANK(INDEX('Local Parameter'!$C:$C,MATCH("beta_PMO",'Local Parameter'!$A:$A,0))),"",INDEX('Local Parameter'!$C:$C,MATCH("beta_PMO",'Local Parameter'!$A:$A,0)))&amp;IF(ISBLANK(INDEX('Local Parameter'!H:H,MATCH("beta_PMO",'Local Parameter'!$A:$A,0))),0.686,IF(INDEX('Local Parameter'!H:H,MATCH("beta_PMO",'Local Parameter'!$A:$A,0))="",0.686,INDEX('Local Parameter'!H:H,MATCH("beta_PMO",'Local Parameter'!$A:$A,0))))&amp;IF(ISBLANK(INDEX('Local Parameter'!$D:$D,MATCH("beta_PMO",'Local Parameter'!$A:$A,0))),"",INDEX('Local Parameter'!$D:$D,MATCH("beta_PMO",'Local Parameter'!$A:$A,0)))&amp;";"</f>
        <v/>
      </c>
      <c r="C28">
        <f>"var beta_PMO = "&amp;IF(ISBLANK(INDEX('Local Parameter'!$C:$C,MATCH("beta_PMO",'Local Parameter'!$A:$A,0))),"",INDEX('Local Parameter'!$C:$C,MATCH("beta_PMO",'Local Parameter'!$A:$A,0)))&amp;IF(ISBLANK(INDEX('Local Parameter'!I:I,MATCH("beta_PMO",'Local Parameter'!$A:$A,0))),0.686,IF(INDEX('Local Parameter'!I:I,MATCH("beta_PMO",'Local Parameter'!$A:$A,0))="",0.686,INDEX('Local Parameter'!I:I,MATCH("beta_PMO",'Local Parameter'!$A:$A,0))))&amp;IF(ISBLANK(INDEX('Local Parameter'!$D:$D,MATCH("beta_PMO",'Local Parameter'!$A:$A,0))),"",INDEX('Local Parameter'!$D:$D,MATCH("beta_PMO",'Local Parameter'!$A:$A,0)))&amp;";"</f>
        <v/>
      </c>
      <c r="D28">
        <f>"var beta_PMO = "&amp;IF(ISBLANK(INDEX('Local Parameter'!$C:$C,MATCH("beta_PMO",'Local Parameter'!$A:$A,0))),"",INDEX('Local Parameter'!$C:$C,MATCH("beta_PMO",'Local Parameter'!$A:$A,0)))&amp;IF(ISBLANK(INDEX('Local Parameter'!J:J,MATCH("beta_PMO",'Local Parameter'!$A:$A,0))),0.686,IF(INDEX('Local Parameter'!J:J,MATCH("beta_PMO",'Local Parameter'!$A:$A,0))="",0.686,INDEX('Local Parameter'!J:J,MATCH("beta_PMO",'Local Parameter'!$A:$A,0))))&amp;IF(ISBLANK(INDEX('Local Parameter'!$D:$D,MATCH("beta_PMO",'Local Parameter'!$A:$A,0))),"",INDEX('Local Parameter'!$D:$D,MATCH("beta_PMO",'Local Parameter'!$A:$A,0)))&amp;";"</f>
        <v/>
      </c>
      <c r="E28">
        <f>"var beta_PMO = "&amp;IF(ISBLANK(INDEX('Local Parameter'!$C:$C,MATCH("beta_PMO",'Local Parameter'!$A:$A,0))),"",INDEX('Local Parameter'!$C:$C,MATCH("beta_PMO",'Local Parameter'!$A:$A,0)))&amp;IF(ISBLANK(INDEX('Local Parameter'!K:K,MATCH("beta_PMO",'Local Parameter'!$A:$A,0))),0.686,IF(INDEX('Local Parameter'!K:K,MATCH("beta_PMO",'Local Parameter'!$A:$A,0))="",0.686,INDEX('Local Parameter'!K:K,MATCH("beta_PMO",'Local Parameter'!$A:$A,0))))&amp;IF(ISBLANK(INDEX('Local Parameter'!$D:$D,MATCH("beta_PMO",'Local Parameter'!$A:$A,0))),"",INDEX('Local Parameter'!$D:$D,MATCH("beta_PMO",'Local Parameter'!$A:$A,0)))&amp;";"</f>
        <v/>
      </c>
    </row>
    <row r="29">
      <c r="B29">
        <f>"var beta_RMO = "&amp;IF(ISBLANK(INDEX('Local Parameter'!$C:$C,MATCH("beta_RMO",'Local Parameter'!$A:$A,0))),"",INDEX('Local Parameter'!$C:$C,MATCH("beta_RMO",'Local Parameter'!$A:$A,0)))&amp;IF(ISBLANK(INDEX('Local Parameter'!H:H,MATCH("beta_RMO",'Local Parameter'!$A:$A,0))),0.492,IF(INDEX('Local Parameter'!H:H,MATCH("beta_RMO",'Local Parameter'!$A:$A,0))="",0.492,INDEX('Local Parameter'!H:H,MATCH("beta_RMO",'Local Parameter'!$A:$A,0))))&amp;IF(ISBLANK(INDEX('Local Parameter'!$D:$D,MATCH("beta_RMO",'Local Parameter'!$A:$A,0))),"",INDEX('Local Parameter'!$D:$D,MATCH("beta_RMO",'Local Parameter'!$A:$A,0)))&amp;";"</f>
        <v/>
      </c>
      <c r="C29">
        <f>"var beta_RMO = "&amp;IF(ISBLANK(INDEX('Local Parameter'!$C:$C,MATCH("beta_RMO",'Local Parameter'!$A:$A,0))),"",INDEX('Local Parameter'!$C:$C,MATCH("beta_RMO",'Local Parameter'!$A:$A,0)))&amp;IF(ISBLANK(INDEX('Local Parameter'!I:I,MATCH("beta_RMO",'Local Parameter'!$A:$A,0))),0.492,IF(INDEX('Local Parameter'!I:I,MATCH("beta_RMO",'Local Parameter'!$A:$A,0))="",0.492,INDEX('Local Parameter'!I:I,MATCH("beta_RMO",'Local Parameter'!$A:$A,0))))&amp;IF(ISBLANK(INDEX('Local Parameter'!$D:$D,MATCH("beta_RMO",'Local Parameter'!$A:$A,0))),"",INDEX('Local Parameter'!$D:$D,MATCH("beta_RMO",'Local Parameter'!$A:$A,0)))&amp;";"</f>
        <v/>
      </c>
      <c r="D29">
        <f>"var beta_RMO = "&amp;IF(ISBLANK(INDEX('Local Parameter'!$C:$C,MATCH("beta_RMO",'Local Parameter'!$A:$A,0))),"",INDEX('Local Parameter'!$C:$C,MATCH("beta_RMO",'Local Parameter'!$A:$A,0)))&amp;IF(ISBLANK(INDEX('Local Parameter'!J:J,MATCH("beta_RMO",'Local Parameter'!$A:$A,0))),0.492,IF(INDEX('Local Parameter'!J:J,MATCH("beta_RMO",'Local Parameter'!$A:$A,0))="",0.492,INDEX('Local Parameter'!J:J,MATCH("beta_RMO",'Local Parameter'!$A:$A,0))))&amp;IF(ISBLANK(INDEX('Local Parameter'!$D:$D,MATCH("beta_RMO",'Local Parameter'!$A:$A,0))),"",INDEX('Local Parameter'!$D:$D,MATCH("beta_RMO",'Local Parameter'!$A:$A,0)))&amp;";"</f>
        <v/>
      </c>
      <c r="E29">
        <f>"var beta_RMO = "&amp;IF(ISBLANK(INDEX('Local Parameter'!$C:$C,MATCH("beta_RMO",'Local Parameter'!$A:$A,0))),"",INDEX('Local Parameter'!$C:$C,MATCH("beta_RMO",'Local Parameter'!$A:$A,0)))&amp;IF(ISBLANK(INDEX('Local Parameter'!K:K,MATCH("beta_RMO",'Local Parameter'!$A:$A,0))),0.492,IF(INDEX('Local Parameter'!K:K,MATCH("beta_RMO",'Local Parameter'!$A:$A,0))="",0.492,INDEX('Local Parameter'!K:K,MATCH("beta_RMO",'Local Parameter'!$A:$A,0))))&amp;IF(ISBLANK(INDEX('Local Parameter'!$D:$D,MATCH("beta_RMO",'Local Parameter'!$A:$A,0))),"",INDEX('Local Parameter'!$D:$D,MATCH("beta_RMO",'Local Parameter'!$A:$A,0)))&amp;";"</f>
        <v/>
      </c>
    </row>
    <row r="30">
      <c r="B30">
        <f>"var k_esf = "&amp;IF(ISBLANK(INDEX('Local Parameter'!$C:$C,MATCH("k_esf",'Local Parameter'!$A:$A,0))),"",INDEX('Local Parameter'!$C:$C,MATCH("k_esf",'Local Parameter'!$A:$A,0)))&amp;IF(ISBLANK(INDEX('Local Parameter'!H:H,MATCH("k_esf",'Local Parameter'!$A:$A,0))),1.1,IF(INDEX('Local Parameter'!H:H,MATCH("k_esf",'Local Parameter'!$A:$A,0))="",1.1,INDEX('Local Parameter'!H:H,MATCH("k_esf",'Local Parameter'!$A:$A,0))))&amp;IF(ISBLANK(INDEX('Local Parameter'!$D:$D,MATCH("k_esf",'Local Parameter'!$A:$A,0))),"",INDEX('Local Parameter'!$D:$D,MATCH("k_esf",'Local Parameter'!$A:$A,0)))&amp;";"</f>
        <v/>
      </c>
      <c r="C30">
        <f>"var k_esf = "&amp;IF(ISBLANK(INDEX('Local Parameter'!$C:$C,MATCH("k_esf",'Local Parameter'!$A:$A,0))),"",INDEX('Local Parameter'!$C:$C,MATCH("k_esf",'Local Parameter'!$A:$A,0)))&amp;IF(ISBLANK(INDEX('Local Parameter'!I:I,MATCH("k_esf",'Local Parameter'!$A:$A,0))),1.1,IF(INDEX('Local Parameter'!I:I,MATCH("k_esf",'Local Parameter'!$A:$A,0))="",1.1,INDEX('Local Parameter'!I:I,MATCH("k_esf",'Local Parameter'!$A:$A,0))))&amp;IF(ISBLANK(INDEX('Local Parameter'!$D:$D,MATCH("k_esf",'Local Parameter'!$A:$A,0))),"",INDEX('Local Parameter'!$D:$D,MATCH("k_esf",'Local Parameter'!$A:$A,0)))&amp;";"</f>
        <v/>
      </c>
      <c r="D30">
        <f>"var k_esf = "&amp;IF(ISBLANK(INDEX('Local Parameter'!$C:$C,MATCH("k_esf",'Local Parameter'!$A:$A,0))),"",INDEX('Local Parameter'!$C:$C,MATCH("k_esf",'Local Parameter'!$A:$A,0)))&amp;IF(ISBLANK(INDEX('Local Parameter'!J:J,MATCH("k_esf",'Local Parameter'!$A:$A,0))),1.1,IF(INDEX('Local Parameter'!J:J,MATCH("k_esf",'Local Parameter'!$A:$A,0))="",1.1,INDEX('Local Parameter'!J:J,MATCH("k_esf",'Local Parameter'!$A:$A,0))))&amp;IF(ISBLANK(INDEX('Local Parameter'!$D:$D,MATCH("k_esf",'Local Parameter'!$A:$A,0))),"",INDEX('Local Parameter'!$D:$D,MATCH("k_esf",'Local Parameter'!$A:$A,0)))&amp;";"</f>
        <v/>
      </c>
      <c r="E30">
        <f>"var k_esf = "&amp;IF(ISBLANK(INDEX('Local Parameter'!$C:$C,MATCH("k_esf",'Local Parameter'!$A:$A,0))),"",INDEX('Local Parameter'!$C:$C,MATCH("k_esf",'Local Parameter'!$A:$A,0)))&amp;IF(ISBLANK(INDEX('Local Parameter'!K:K,MATCH("k_esf",'Local Parameter'!$A:$A,0))),1.1,IF(INDEX('Local Parameter'!K:K,MATCH("k_esf",'Local Parameter'!$A:$A,0))="",1.1,INDEX('Local Parameter'!K:K,MATCH("k_esf",'Local Parameter'!$A:$A,0))))&amp;IF(ISBLANK(INDEX('Local Parameter'!$D:$D,MATCH("k_esf",'Local Parameter'!$A:$A,0))),"",INDEX('Local Parameter'!$D:$D,MATCH("k_esf",'Local Parameter'!$A:$A,0)))&amp;";"</f>
        <v/>
      </c>
    </row>
    <row r="31">
      <c r="B31">
        <f>"var w_v = "&amp;IF(ISBLANK(INDEX('Local Parameter'!$C:$C,MATCH("w_v",'Local Parameter'!$A:$A,0))),"",INDEX('Local Parameter'!$C:$C,MATCH("w_v",'Local Parameter'!$A:$A,0)))&amp;IF(ISBLANK(INDEX('Local Parameter'!H:H,MATCH("w_v",'Local Parameter'!$A:$A,0))),0.75,IF(INDEX('Local Parameter'!H:H,MATCH("w_v",'Local Parameter'!$A:$A,0))="",0.75,INDEX('Local Parameter'!H:H,MATCH("w_v",'Local Parameter'!$A:$A,0))))&amp;IF(ISBLANK(INDEX('Local Parameter'!$D:$D,MATCH("w_v",'Local Parameter'!$A:$A,0))),"",INDEX('Local Parameter'!$D:$D,MATCH("w_v",'Local Parameter'!$A:$A,0)))&amp;";"</f>
        <v/>
      </c>
      <c r="C31">
        <f>"var w_v = "&amp;IF(ISBLANK(INDEX('Local Parameter'!$C:$C,MATCH("w_v",'Local Parameter'!$A:$A,0))),"",INDEX('Local Parameter'!$C:$C,MATCH("w_v",'Local Parameter'!$A:$A,0)))&amp;IF(ISBLANK(INDEX('Local Parameter'!I:I,MATCH("w_v",'Local Parameter'!$A:$A,0))),0.75,IF(INDEX('Local Parameter'!I:I,MATCH("w_v",'Local Parameter'!$A:$A,0))="",0.75,INDEX('Local Parameter'!I:I,MATCH("w_v",'Local Parameter'!$A:$A,0))))&amp;IF(ISBLANK(INDEX('Local Parameter'!$D:$D,MATCH("w_v",'Local Parameter'!$A:$A,0))),"",INDEX('Local Parameter'!$D:$D,MATCH("w_v",'Local Parameter'!$A:$A,0)))&amp;";"</f>
        <v/>
      </c>
      <c r="D31">
        <f>"var w_v = "&amp;IF(ISBLANK(INDEX('Local Parameter'!$C:$C,MATCH("w_v",'Local Parameter'!$A:$A,0))),"",INDEX('Local Parameter'!$C:$C,MATCH("w_v",'Local Parameter'!$A:$A,0)))&amp;IF(ISBLANK(INDEX('Local Parameter'!J:J,MATCH("w_v",'Local Parameter'!$A:$A,0))),0.75,IF(INDEX('Local Parameter'!J:J,MATCH("w_v",'Local Parameter'!$A:$A,0))="",0.75,INDEX('Local Parameter'!J:J,MATCH("w_v",'Local Parameter'!$A:$A,0))))&amp;IF(ISBLANK(INDEX('Local Parameter'!$D:$D,MATCH("w_v",'Local Parameter'!$A:$A,0))),"",INDEX('Local Parameter'!$D:$D,MATCH("w_v",'Local Parameter'!$A:$A,0)))&amp;";"</f>
        <v/>
      </c>
      <c r="E31">
        <f>"var w_v = "&amp;IF(ISBLANK(INDEX('Local Parameter'!$C:$C,MATCH("w_v",'Local Parameter'!$A:$A,0))),"",INDEX('Local Parameter'!$C:$C,MATCH("w_v",'Local Parameter'!$A:$A,0)))&amp;IF(ISBLANK(INDEX('Local Parameter'!K:K,MATCH("w_v",'Local Parameter'!$A:$A,0))),0.75,IF(INDEX('Local Parameter'!K:K,MATCH("w_v",'Local Parameter'!$A:$A,0))="",0.75,INDEX('Local Parameter'!K:K,MATCH("w_v",'Local Parameter'!$A:$A,0))))&amp;IF(ISBLANK(INDEX('Local Parameter'!$D:$D,MATCH("w_v",'Local Parameter'!$A:$A,0))),"",INDEX('Local Parameter'!$D:$D,MATCH("w_v",'Local Parameter'!$A:$A,0)))&amp;";"</f>
        <v/>
      </c>
    </row>
    <row r="32">
      <c r="B32">
        <f>"var w_l = "&amp;IF(ISBLANK(INDEX('Local Parameter'!$C:$C,MATCH("w_l",'Local Parameter'!$A:$A,0))),"",INDEX('Local Parameter'!$C:$C,MATCH("w_l",'Local Parameter'!$A:$A,0)))&amp;IF(ISBLANK(INDEX('Local Parameter'!H:H,MATCH("w_l",'Local Parameter'!$A:$A,0))),0.25,IF(INDEX('Local Parameter'!H:H,MATCH("w_l",'Local Parameter'!$A:$A,0))="",0.25,INDEX('Local Parameter'!H:H,MATCH("w_l",'Local Parameter'!$A:$A,0))))&amp;IF(ISBLANK(INDEX('Local Parameter'!$D:$D,MATCH("w_l",'Local Parameter'!$A:$A,0))),"",INDEX('Local Parameter'!$D:$D,MATCH("w_l",'Local Parameter'!$A:$A,0)))&amp;";"</f>
        <v/>
      </c>
      <c r="C32">
        <f>"var w_l = "&amp;IF(ISBLANK(INDEX('Local Parameter'!$C:$C,MATCH("w_l",'Local Parameter'!$A:$A,0))),"",INDEX('Local Parameter'!$C:$C,MATCH("w_l",'Local Parameter'!$A:$A,0)))&amp;IF(ISBLANK(INDEX('Local Parameter'!I:I,MATCH("w_l",'Local Parameter'!$A:$A,0))),0.25,IF(INDEX('Local Parameter'!I:I,MATCH("w_l",'Local Parameter'!$A:$A,0))="",0.25,INDEX('Local Parameter'!I:I,MATCH("w_l",'Local Parameter'!$A:$A,0))))&amp;IF(ISBLANK(INDEX('Local Parameter'!$D:$D,MATCH("w_l",'Local Parameter'!$A:$A,0))),"",INDEX('Local Parameter'!$D:$D,MATCH("w_l",'Local Parameter'!$A:$A,0)))&amp;";"</f>
        <v/>
      </c>
      <c r="D32">
        <f>"var w_l = "&amp;IF(ISBLANK(INDEX('Local Parameter'!$C:$C,MATCH("w_l",'Local Parameter'!$A:$A,0))),"",INDEX('Local Parameter'!$C:$C,MATCH("w_l",'Local Parameter'!$A:$A,0)))&amp;IF(ISBLANK(INDEX('Local Parameter'!J:J,MATCH("w_l",'Local Parameter'!$A:$A,0))),0.25,IF(INDEX('Local Parameter'!J:J,MATCH("w_l",'Local Parameter'!$A:$A,0))="",0.25,INDEX('Local Parameter'!J:J,MATCH("w_l",'Local Parameter'!$A:$A,0))))&amp;IF(ISBLANK(INDEX('Local Parameter'!$D:$D,MATCH("w_l",'Local Parameter'!$A:$A,0))),"",INDEX('Local Parameter'!$D:$D,MATCH("w_l",'Local Parameter'!$A:$A,0)))&amp;";"</f>
        <v/>
      </c>
      <c r="E32">
        <f>"var w_l = "&amp;IF(ISBLANK(INDEX('Local Parameter'!$C:$C,MATCH("w_l",'Local Parameter'!$A:$A,0))),"",INDEX('Local Parameter'!$C:$C,MATCH("w_l",'Local Parameter'!$A:$A,0)))&amp;IF(ISBLANK(INDEX('Local Parameter'!K:K,MATCH("w_l",'Local Parameter'!$A:$A,0))),0.25,IF(INDEX('Local Parameter'!K:K,MATCH("w_l",'Local Parameter'!$A:$A,0))="",0.25,INDEX('Local Parameter'!K:K,MATCH("w_l",'Local Parameter'!$A:$A,0))))&amp;IF(ISBLANK(INDEX('Local Parameter'!$D:$D,MATCH("w_l",'Local Parameter'!$A:$A,0))),"",INDEX('Local Parameter'!$D:$D,MATCH("w_l",'Local Parameter'!$A:$A,0)))&amp;";"</f>
        <v/>
      </c>
    </row>
    <row r="33">
      <c r="B33">
        <f>"var w_t = "&amp;IF(ISBLANK(INDEX('Local Parameter'!$C:$C,MATCH("w_t",'Local Parameter'!$A:$A,0))),"",INDEX('Local Parameter'!$C:$C,MATCH("w_t",'Local Parameter'!$A:$A,0)))&amp;IF(ISBLANK(INDEX('Local Parameter'!H:H,MATCH("w_t",'Local Parameter'!$A:$A,0))),0.75,IF(INDEX('Local Parameter'!H:H,MATCH("w_t",'Local Parameter'!$A:$A,0))="",0.75,INDEX('Local Parameter'!H:H,MATCH("w_t",'Local Parameter'!$A:$A,0))))&amp;IF(ISBLANK(INDEX('Local Parameter'!$D:$D,MATCH("w_t",'Local Parameter'!$A:$A,0))),"",INDEX('Local Parameter'!$D:$D,MATCH("w_t",'Local Parameter'!$A:$A,0)))&amp;";"</f>
        <v/>
      </c>
      <c r="C33">
        <f>"var w_t = "&amp;IF(ISBLANK(INDEX('Local Parameter'!$C:$C,MATCH("w_t",'Local Parameter'!$A:$A,0))),"",INDEX('Local Parameter'!$C:$C,MATCH("w_t",'Local Parameter'!$A:$A,0)))&amp;IF(ISBLANK(INDEX('Local Parameter'!I:I,MATCH("w_t",'Local Parameter'!$A:$A,0))),0.75,IF(INDEX('Local Parameter'!I:I,MATCH("w_t",'Local Parameter'!$A:$A,0))="",0.75,INDEX('Local Parameter'!I:I,MATCH("w_t",'Local Parameter'!$A:$A,0))))&amp;IF(ISBLANK(INDEX('Local Parameter'!$D:$D,MATCH("w_t",'Local Parameter'!$A:$A,0))),"",INDEX('Local Parameter'!$D:$D,MATCH("w_t",'Local Parameter'!$A:$A,0)))&amp;";"</f>
        <v/>
      </c>
      <c r="D33">
        <f>"var w_t = "&amp;IF(ISBLANK(INDEX('Local Parameter'!$C:$C,MATCH("w_t",'Local Parameter'!$A:$A,0))),"",INDEX('Local Parameter'!$C:$C,MATCH("w_t",'Local Parameter'!$A:$A,0)))&amp;IF(ISBLANK(INDEX('Local Parameter'!J:J,MATCH("w_t",'Local Parameter'!$A:$A,0))),0.75,IF(INDEX('Local Parameter'!J:J,MATCH("w_t",'Local Parameter'!$A:$A,0))="",0.75,INDEX('Local Parameter'!J:J,MATCH("w_t",'Local Parameter'!$A:$A,0))))&amp;IF(ISBLANK(INDEX('Local Parameter'!$D:$D,MATCH("w_t",'Local Parameter'!$A:$A,0))),"",INDEX('Local Parameter'!$D:$D,MATCH("w_t",'Local Parameter'!$A:$A,0)))&amp;";"</f>
        <v/>
      </c>
      <c r="E33">
        <f>"var w_t = "&amp;IF(ISBLANK(INDEX('Local Parameter'!$C:$C,MATCH("w_t",'Local Parameter'!$A:$A,0))),"",INDEX('Local Parameter'!$C:$C,MATCH("w_t",'Local Parameter'!$A:$A,0)))&amp;IF(ISBLANK(INDEX('Local Parameter'!K:K,MATCH("w_t",'Local Parameter'!$A:$A,0))),0.75,IF(INDEX('Local Parameter'!K:K,MATCH("w_t",'Local Parameter'!$A:$A,0))="",0.75,INDEX('Local Parameter'!K:K,MATCH("w_t",'Local Parameter'!$A:$A,0))))&amp;IF(ISBLANK(INDEX('Local Parameter'!$D:$D,MATCH("w_t",'Local Parameter'!$A:$A,0))),"",INDEX('Local Parameter'!$D:$D,MATCH("w_t",'Local Parameter'!$A:$A,0)))&amp;";"</f>
        <v/>
      </c>
    </row>
    <row r="34">
      <c r="B34">
        <f>"var xi = "&amp;IF(ISBLANK(INDEX('Local Parameter'!$C:$C,MATCH("xi",'Local Parameter'!$A:$A,0))),"",INDEX('Local Parameter'!$C:$C,MATCH("xi",'Local Parameter'!$A:$A,0)))&amp;IF(ISBLANK(INDEX('Local Parameter'!H:H,MATCH("xi",'Local Parameter'!$A:$A,0))),21,IF(INDEX('Local Parameter'!H:H,MATCH("xi",'Local Parameter'!$A:$A,0))="",21,INDEX('Local Parameter'!H:H,MATCH("xi",'Local Parameter'!$A:$A,0))))&amp;IF(ISBLANK(INDEX('Local Parameter'!$D:$D,MATCH("xi",'Local Parameter'!$A:$A,0)))," m",IF(INDEX('Local Parameter'!$D:$D,MATCH("xi",'Local Parameter'!$A:$A,0))=""," m",INDEX('Local Parameter'!$D:$D,MATCH("xi",'Local Parameter'!$A:$A,0))))&amp;";"</f>
        <v/>
      </c>
      <c r="C34">
        <f>"var xi = "&amp;IF(ISBLANK(INDEX('Local Parameter'!$C:$C,MATCH("xi",'Local Parameter'!$A:$A,0))),"",INDEX('Local Parameter'!$C:$C,MATCH("xi",'Local Parameter'!$A:$A,0)))&amp;IF(ISBLANK(INDEX('Local Parameter'!I:I,MATCH("xi",'Local Parameter'!$A:$A,0))),21,IF(INDEX('Local Parameter'!I:I,MATCH("xi",'Local Parameter'!$A:$A,0))="",21,INDEX('Local Parameter'!I:I,MATCH("xi",'Local Parameter'!$A:$A,0))))&amp;IF(ISBLANK(INDEX('Local Parameter'!$D:$D,MATCH("xi",'Local Parameter'!$A:$A,0)))," m",IF(INDEX('Local Parameter'!$D:$D,MATCH("xi",'Local Parameter'!$A:$A,0))=""," m",INDEX('Local Parameter'!$D:$D,MATCH("xi",'Local Parameter'!$A:$A,0))))&amp;";"</f>
        <v/>
      </c>
      <c r="D34">
        <f>"var xi = "&amp;IF(ISBLANK(INDEX('Local Parameter'!$C:$C,MATCH("xi",'Local Parameter'!$A:$A,0))),"",INDEX('Local Parameter'!$C:$C,MATCH("xi",'Local Parameter'!$A:$A,0)))&amp;IF(ISBLANK(INDEX('Local Parameter'!J:J,MATCH("xi",'Local Parameter'!$A:$A,0))),21,IF(INDEX('Local Parameter'!J:J,MATCH("xi",'Local Parameter'!$A:$A,0))="",21,INDEX('Local Parameter'!J:J,MATCH("xi",'Local Parameter'!$A:$A,0))))&amp;IF(ISBLANK(INDEX('Local Parameter'!$D:$D,MATCH("xi",'Local Parameter'!$A:$A,0)))," m",IF(INDEX('Local Parameter'!$D:$D,MATCH("xi",'Local Parameter'!$A:$A,0))=""," m",INDEX('Local Parameter'!$D:$D,MATCH("xi",'Local Parameter'!$A:$A,0))))&amp;";"</f>
        <v/>
      </c>
      <c r="E34">
        <f>"var xi = "&amp;IF(ISBLANK(INDEX('Local Parameter'!$C:$C,MATCH("xi",'Local Parameter'!$A:$A,0))),"",INDEX('Local Parameter'!$C:$C,MATCH("xi",'Local Parameter'!$A:$A,0)))&amp;IF(ISBLANK(INDEX('Local Parameter'!K:K,MATCH("xi",'Local Parameter'!$A:$A,0))),21,IF(INDEX('Local Parameter'!K:K,MATCH("xi",'Local Parameter'!$A:$A,0))="",21,INDEX('Local Parameter'!K:K,MATCH("xi",'Local Parameter'!$A:$A,0))))&amp;IF(ISBLANK(INDEX('Local Parameter'!$D:$D,MATCH("xi",'Local Parameter'!$A:$A,0)))," m",IF(INDEX('Local Parameter'!$D:$D,MATCH("xi",'Local Parameter'!$A:$A,0))=""," m",INDEX('Local Parameter'!$D:$D,MATCH("xi",'Local Parameter'!$A:$A,0))))&amp;";"</f>
        <v/>
      </c>
    </row>
    <row r="35">
      <c r="B35">
        <f>"var delta_b = "&amp;IF(ISBLANK(INDEX('Local Parameter'!$C:$C,MATCH("delta_b",'Local Parameter'!$A:$A,0))),"",INDEX('Local Parameter'!$C:$C,MATCH("delta_b",'Local Parameter'!$A:$A,0)))&amp;IF(ISBLANK(INDEX('Local Parameter'!H:H,MATCH("delta_b",'Local Parameter'!$A:$A,0))),0,IF(INDEX('Local Parameter'!H:H,MATCH("delta_b",'Local Parameter'!$A:$A,0))="",0,INDEX('Local Parameter'!H:H,MATCH("delta_b",'Local Parameter'!$A:$A,0))))&amp;IF(ISBLANK(INDEX('Local Parameter'!$D:$D,MATCH("delta_b",'Local Parameter'!$A:$A,0)))," m",IF(INDEX('Local Parameter'!$D:$D,MATCH("delta_b",'Local Parameter'!$A:$A,0))=""," m",INDEX('Local Parameter'!$D:$D,MATCH("delta_b",'Local Parameter'!$A:$A,0))))&amp;";"</f>
        <v/>
      </c>
      <c r="C35">
        <f>"var delta_b = "&amp;IF(ISBLANK(INDEX('Local Parameter'!$C:$C,MATCH("delta_b",'Local Parameter'!$A:$A,0))),"",INDEX('Local Parameter'!$C:$C,MATCH("delta_b",'Local Parameter'!$A:$A,0)))&amp;IF(ISBLANK(INDEX('Local Parameter'!I:I,MATCH("delta_b",'Local Parameter'!$A:$A,0))),0,IF(INDEX('Local Parameter'!I:I,MATCH("delta_b",'Local Parameter'!$A:$A,0))="",0,INDEX('Local Parameter'!I:I,MATCH("delta_b",'Local Parameter'!$A:$A,0))))&amp;IF(ISBLANK(INDEX('Local Parameter'!$D:$D,MATCH("delta_b",'Local Parameter'!$A:$A,0)))," m",IF(INDEX('Local Parameter'!$D:$D,MATCH("delta_b",'Local Parameter'!$A:$A,0))=""," m",INDEX('Local Parameter'!$D:$D,MATCH("delta_b",'Local Parameter'!$A:$A,0))))&amp;";"</f>
        <v/>
      </c>
      <c r="D35">
        <f>"var delta_b = "&amp;IF(ISBLANK(INDEX('Local Parameter'!$C:$C,MATCH("delta_b",'Local Parameter'!$A:$A,0))),"",INDEX('Local Parameter'!$C:$C,MATCH("delta_b",'Local Parameter'!$A:$A,0)))&amp;IF(ISBLANK(INDEX('Local Parameter'!J:J,MATCH("delta_b",'Local Parameter'!$A:$A,0))),0,IF(INDEX('Local Parameter'!J:J,MATCH("delta_b",'Local Parameter'!$A:$A,0))="",0,INDEX('Local Parameter'!J:J,MATCH("delta_b",'Local Parameter'!$A:$A,0))))&amp;IF(ISBLANK(INDEX('Local Parameter'!$D:$D,MATCH("delta_b",'Local Parameter'!$A:$A,0)))," m",IF(INDEX('Local Parameter'!$D:$D,MATCH("delta_b",'Local Parameter'!$A:$A,0))=""," m",INDEX('Local Parameter'!$D:$D,MATCH("delta_b",'Local Parameter'!$A:$A,0))))&amp;";"</f>
        <v/>
      </c>
      <c r="E35">
        <f>"var delta_b = "&amp;IF(ISBLANK(INDEX('Local Parameter'!$C:$C,MATCH("delta_b",'Local Parameter'!$A:$A,0))),"",INDEX('Local Parameter'!$C:$C,MATCH("delta_b",'Local Parameter'!$A:$A,0)))&amp;IF(ISBLANK(INDEX('Local Parameter'!K:K,MATCH("delta_b",'Local Parameter'!$A:$A,0))),0,IF(INDEX('Local Parameter'!K:K,MATCH("delta_b",'Local Parameter'!$A:$A,0))="",0,INDEX('Local Parameter'!K:K,MATCH("delta_b",'Local Parameter'!$A:$A,0))))&amp;IF(ISBLANK(INDEX('Local Parameter'!$D:$D,MATCH("delta_b",'Local Parameter'!$A:$A,0)))," m",IF(INDEX('Local Parameter'!$D:$D,MATCH("delta_b",'Local Parameter'!$A:$A,0))=""," m",INDEX('Local Parameter'!$D:$D,MATCH("delta_b",'Local Parameter'!$A:$A,0))))&amp;";"</f>
        <v/>
      </c>
    </row>
    <row r="36">
      <c r="B36">
        <f>"var delta_h = "&amp;IF(ISBLANK(INDEX('Local Parameter'!$C:$C,MATCH("delta_h",'Local Parameter'!$A:$A,0))),"",INDEX('Local Parameter'!$C:$C,MATCH("delta_h",'Local Parameter'!$A:$A,0)))&amp;IF(ISBLANK(INDEX('Local Parameter'!H:H,MATCH("delta_h",'Local Parameter'!$A:$A,0))),0,IF(INDEX('Local Parameter'!H:H,MATCH("delta_h",'Local Parameter'!$A:$A,0))="",0,INDEX('Local Parameter'!H:H,MATCH("delta_h",'Local Parameter'!$A:$A,0))))&amp;IF(ISBLANK(INDEX('Local Parameter'!$D:$D,MATCH("delta_h",'Local Parameter'!$A:$A,0)))," m",IF(INDEX('Local Parameter'!$D:$D,MATCH("delta_h",'Local Parameter'!$A:$A,0))=""," m",INDEX('Local Parameter'!$D:$D,MATCH("delta_h",'Local Parameter'!$A:$A,0))))&amp;";"</f>
        <v/>
      </c>
      <c r="C36">
        <f>"var delta_h = "&amp;IF(ISBLANK(INDEX('Local Parameter'!$C:$C,MATCH("delta_h",'Local Parameter'!$A:$A,0))),"",INDEX('Local Parameter'!$C:$C,MATCH("delta_h",'Local Parameter'!$A:$A,0)))&amp;IF(ISBLANK(INDEX('Local Parameter'!I:I,MATCH("delta_h",'Local Parameter'!$A:$A,0))),0,IF(INDEX('Local Parameter'!I:I,MATCH("delta_h",'Local Parameter'!$A:$A,0))="",0,INDEX('Local Parameter'!I:I,MATCH("delta_h",'Local Parameter'!$A:$A,0))))&amp;IF(ISBLANK(INDEX('Local Parameter'!$D:$D,MATCH("delta_h",'Local Parameter'!$A:$A,0)))," m",IF(INDEX('Local Parameter'!$D:$D,MATCH("delta_h",'Local Parameter'!$A:$A,0))=""," m",INDEX('Local Parameter'!$D:$D,MATCH("delta_h",'Local Parameter'!$A:$A,0))))&amp;";"</f>
        <v/>
      </c>
      <c r="D36">
        <f>"var delta_h = "&amp;IF(ISBLANK(INDEX('Local Parameter'!$C:$C,MATCH("delta_h",'Local Parameter'!$A:$A,0))),"",INDEX('Local Parameter'!$C:$C,MATCH("delta_h",'Local Parameter'!$A:$A,0)))&amp;IF(ISBLANK(INDEX('Local Parameter'!J:J,MATCH("delta_h",'Local Parameter'!$A:$A,0))),0,IF(INDEX('Local Parameter'!J:J,MATCH("delta_h",'Local Parameter'!$A:$A,0))="",0,INDEX('Local Parameter'!J:J,MATCH("delta_h",'Local Parameter'!$A:$A,0))))&amp;IF(ISBLANK(INDEX('Local Parameter'!$D:$D,MATCH("delta_h",'Local Parameter'!$A:$A,0)))," m",IF(INDEX('Local Parameter'!$D:$D,MATCH("delta_h",'Local Parameter'!$A:$A,0))=""," m",INDEX('Local Parameter'!$D:$D,MATCH("delta_h",'Local Parameter'!$A:$A,0))))&amp;";"</f>
        <v/>
      </c>
      <c r="E36">
        <f>"var delta_h = "&amp;IF(ISBLANK(INDEX('Local Parameter'!$C:$C,MATCH("delta_h",'Local Parameter'!$A:$A,0))),"",INDEX('Local Parameter'!$C:$C,MATCH("delta_h",'Local Parameter'!$A:$A,0)))&amp;IF(ISBLANK(INDEX('Local Parameter'!K:K,MATCH("delta_h",'Local Parameter'!$A:$A,0))),0,IF(INDEX('Local Parameter'!K:K,MATCH("delta_h",'Local Parameter'!$A:$A,0))="",0,INDEX('Local Parameter'!K:K,MATCH("delta_h",'Local Parameter'!$A:$A,0))))&amp;IF(ISBLANK(INDEX('Local Parameter'!$D:$D,MATCH("delta_h",'Local Parameter'!$A:$A,0)))," m",IF(INDEX('Local Parameter'!$D:$D,MATCH("delta_h",'Local Parameter'!$A:$A,0))=""," m",INDEX('Local Parameter'!$D:$D,MATCH("delta_h",'Local Parameter'!$A:$A,0))))&amp;";"</f>
        <v/>
      </c>
    </row>
    <row r="37">
      <c r="B37">
        <f>"// --- the tank this case names: "&amp;IF(ISBLANK(INDEX('Local Parameter'!$C:$C,MATCH("tank_ref",'Local Parameter'!$A:$A,0))),"",INDEX('Local Parameter'!$C:$C,MATCH("tank_ref",'Local Parameter'!$A:$A,0)))&amp;IF(ISBLANK(INDEX('Local Parameter'!H:H,MATCH("tank_ref",'Local Parameter'!$A:$A,0))),"WBT6",IF(INDEX('Local Parameter'!H:H,MATCH("tank_ref",'Local Parameter'!$A:$A,0))="","WBT6",INDEX('Local Parameter'!H:H,MATCH("tank_ref",'Local Parameter'!$A:$A,0))))&amp;IF(ISBLANK(INDEX('Local Parameter'!$D:$D,MATCH("tank_ref",'Local Parameter'!$A:$A,0))),"",INDEX('Local Parameter'!$D:$D,MATCH("tank_ref",'Local Parameter'!$A:$A,0)))</f>
        <v/>
      </c>
      <c r="C37">
        <f>"// --- the tank this case names: "&amp;IF(ISBLANK(INDEX('Local Parameter'!$C:$C,MATCH("tank_ref",'Local Parameter'!$A:$A,0))),"",INDEX('Local Parameter'!$C:$C,MATCH("tank_ref",'Local Parameter'!$A:$A,0)))&amp;IF(ISBLANK(INDEX('Local Parameter'!I:I,MATCH("tank_ref",'Local Parameter'!$A:$A,0))),"WBT6",IF(INDEX('Local Parameter'!I:I,MATCH("tank_ref",'Local Parameter'!$A:$A,0))="","WBT6",INDEX('Local Parameter'!I:I,MATCH("tank_ref",'Local Parameter'!$A:$A,0))))&amp;IF(ISBLANK(INDEX('Local Parameter'!$D:$D,MATCH("tank_ref",'Local Parameter'!$A:$A,0))),"",INDEX('Local Parameter'!$D:$D,MATCH("tank_ref",'Local Parameter'!$A:$A,0)))</f>
        <v/>
      </c>
      <c r="D37">
        <f>"// --- the tank this case names: "&amp;IF(ISBLANK(INDEX('Local Parameter'!$C:$C,MATCH("tank_ref",'Local Parameter'!$A:$A,0))),"",INDEX('Local Parameter'!$C:$C,MATCH("tank_ref",'Local Parameter'!$A:$A,0)))&amp;IF(ISBLANK(INDEX('Local Parameter'!J:J,MATCH("tank_ref",'Local Parameter'!$A:$A,0))),"WBT6",IF(INDEX('Local Parameter'!J:J,MATCH("tank_ref",'Local Parameter'!$A:$A,0))="","WBT6",INDEX('Local Parameter'!J:J,MATCH("tank_ref",'Local Parameter'!$A:$A,0))))&amp;IF(ISBLANK(INDEX('Local Parameter'!$D:$D,MATCH("tank_ref",'Local Parameter'!$A:$A,0))),"",INDEX('Local Parameter'!$D:$D,MATCH("tank_ref",'Local Parameter'!$A:$A,0)))</f>
        <v/>
      </c>
      <c r="E37">
        <f>"// --- the tank this case names: "&amp;IF(ISBLANK(INDEX('Local Parameter'!$C:$C,MATCH("tank_ref",'Local Parameter'!$A:$A,0))),"",INDEX('Local Parameter'!$C:$C,MATCH("tank_ref",'Local Parameter'!$A:$A,0)))&amp;IF(ISBLANK(INDEX('Local Parameter'!K:K,MATCH("tank_ref",'Local Parameter'!$A:$A,0))),"WBT6",IF(INDEX('Local Parameter'!K:K,MATCH("tank_ref",'Local Parameter'!$A:$A,0))="","WBT6",INDEX('Local Parameter'!K:K,MATCH("tank_ref",'Local Parameter'!$A:$A,0))))&amp;IF(ISBLANK(INDEX('Local Parameter'!$D:$D,MATCH("tank_ref",'Local Parameter'!$A:$A,0))),"",INDEX('Local Parameter'!$D:$D,MATCH("tank_ref",'Local Parameter'!$A:$A,0)))</f>
        <v/>
      </c>
    </row>
    <row r="38">
      <c r="B38">
        <f>"var rho_tank = "&amp;""&amp;IF(ISBLANK(INDEX('Tank Data'!$B:$B,MATCH(IF(ISBLANK(INDEX('Local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Data'!$A:$A,0))),1025,IF(INDEX('Tank Data'!$B:$B,MATCH(IF(ISBLANK(INDEX('Local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Data'!$A:$A,0))="",1025,INDEX('Tank Data'!$B:$B,MATCH(IF(ISBLANK(INDEX('Local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Data'!$A:$A,0))))&amp;" kg/m^3"&amp;";"</f>
        <v/>
      </c>
      <c r="C38">
        <f>"var rho_tank = "&amp;""&amp;IF(ISBLANK(INDEX('Tank Data'!$B:$B,MATCH(IF(ISBLANK(INDEX('Local Parameter'!I:I,MATCH("tank_ref",'Local Parameter'!$A:$A,0))),"WBT6",IF(INDEX('Local Parameter'!I:I,MATCH("tank_ref",'Local Parameter'!$A:$A,0))="","WBT6",INDEX('Local Parameter'!I:I,MATCH("tank_ref",'Local Parameter'!$A:$A,0)))),'Tank Data'!$A:$A,0))),1025,IF(INDEX('Tank Data'!$B:$B,MATCH(IF(ISBLANK(INDEX('Local Parameter'!I:I,MATCH("tank_ref",'Local Parameter'!$A:$A,0))),"WBT6",IF(INDEX('Local Parameter'!I:I,MATCH("tank_ref",'Local Parameter'!$A:$A,0))="","WBT6",INDEX('Local Parameter'!I:I,MATCH("tank_ref",'Local Parameter'!$A:$A,0)))),'Tank Data'!$A:$A,0))="",1025,INDEX('Tank Data'!$B:$B,MATCH(IF(ISBLANK(INDEX('Local Parameter'!I:I,MATCH("tank_ref",'Local Parameter'!$A:$A,0))),"WBT6",IF(INDEX('Local Parameter'!I:I,MATCH("tank_ref",'Local Parameter'!$A:$A,0))="","WBT6",INDEX('Local Parameter'!I:I,MATCH("tank_ref",'Local Parameter'!$A:$A,0)))),'Tank Data'!$A:$A,0))))&amp;" kg/m^3"&amp;";"</f>
        <v/>
      </c>
      <c r="D38">
        <f>"var rho_tank = "&amp;""&amp;IF(ISBLANK(INDEX('Tank Data'!$B:$B,MATCH(IF(ISBLANK(INDEX('Local Parameter'!J:J,MATCH("tank_ref",'Local Parameter'!$A:$A,0))),"WBT6",IF(INDEX('Local Parameter'!J:J,MATCH("tank_ref",'Local Parameter'!$A:$A,0))="","WBT6",INDEX('Local Parameter'!J:J,MATCH("tank_ref",'Local Parameter'!$A:$A,0)))),'Tank Data'!$A:$A,0))),1025,IF(INDEX('Tank Data'!$B:$B,MATCH(IF(ISBLANK(INDEX('Local Parameter'!J:J,MATCH("tank_ref",'Local Parameter'!$A:$A,0))),"WBT6",IF(INDEX('Local Parameter'!J:J,MATCH("tank_ref",'Local Parameter'!$A:$A,0))="","WBT6",INDEX('Local Parameter'!J:J,MATCH("tank_ref",'Local Parameter'!$A:$A,0)))),'Tank Data'!$A:$A,0))="",1025,INDEX('Tank Data'!$B:$B,MATCH(IF(ISBLANK(INDEX('Local Parameter'!J:J,MATCH("tank_ref",'Local Parameter'!$A:$A,0))),"WBT6",IF(INDEX('Local Parameter'!J:J,MATCH("tank_ref",'Local Parameter'!$A:$A,0))="","WBT6",INDEX('Local Parameter'!J:J,MATCH("tank_ref",'Local Parameter'!$A:$A,0)))),'Tank Data'!$A:$A,0))))&amp;" kg/m^3"&amp;";"</f>
        <v/>
      </c>
      <c r="E38">
        <f>"var rho_tank = "&amp;""&amp;IF(ISBLANK(INDEX('Tank Data'!$B:$B,MATCH(IF(ISBLANK(INDEX('Local Parameter'!K:K,MATCH("tank_ref",'Local Parameter'!$A:$A,0))),"WBT6",IF(INDEX('Local Parameter'!K:K,MATCH("tank_ref",'Local Parameter'!$A:$A,0))="","WBT6",INDEX('Local Parameter'!K:K,MATCH("tank_ref",'Local Parameter'!$A:$A,0)))),'Tank Data'!$A:$A,0))),1025,IF(INDEX('Tank Data'!$B:$B,MATCH(IF(ISBLANK(INDEX('Local Parameter'!K:K,MATCH("tank_ref",'Local Parameter'!$A:$A,0))),"WBT6",IF(INDEX('Local Parameter'!K:K,MATCH("tank_ref",'Local Parameter'!$A:$A,0))="","WBT6",INDEX('Local Parameter'!K:K,MATCH("tank_ref",'Local Parameter'!$A:$A,0)))),'Tank Data'!$A:$A,0))="",1025,INDEX('Tank Data'!$B:$B,MATCH(IF(ISBLANK(INDEX('Local Parameter'!K:K,MATCH("tank_ref",'Local Parameter'!$A:$A,0))),"WBT6",IF(INDEX('Local Parameter'!K:K,MATCH("tank_ref",'Local Parameter'!$A:$A,0))="","WBT6",INDEX('Local Parameter'!K:K,MATCH("tank_ref",'Local Parameter'!$A:$A,0)))),'Tank Data'!$A:$A,0))))&amp;" kg/m^3"&amp;";"</f>
        <v/>
      </c>
    </row>
    <row r="39">
      <c r="B39">
        <f>"var l_tank = "&amp;""&amp;IF(ISBLANK(INDEX('Tank Data'!$C:$C,MATCH(IF(ISBLANK(INDEX('Local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Data'!$A:$A,0))),42,IF(INDEX('Tank Data'!$C:$C,MATCH(IF(ISBLANK(INDEX('Local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Data'!$A:$A,0))="",42,INDEX('Tank Data'!$C:$C,MATCH(IF(ISBLANK(INDEX('Local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Data'!$A:$A,0))))&amp;" m"&amp;";"</f>
        <v/>
      </c>
      <c r="C39">
        <f>"var l_tank = "&amp;""&amp;IF(ISBLANK(INDEX('Tank Data'!$C:$C,MATCH(IF(ISBLANK(INDEX('Local Parameter'!I:I,MATCH("tank_ref",'Local Parameter'!$A:$A,0))),"WBT6",IF(INDEX('Local Parameter'!I:I,MATCH("tank_ref",'Local Parameter'!$A:$A,0))="","WBT6",INDEX('Local Parameter'!I:I,MATCH("tank_ref",'Local Parameter'!$A:$A,0)))),'Tank Data'!$A:$A,0))),42,IF(INDEX('Tank Data'!$C:$C,MATCH(IF(ISBLANK(INDEX('Local Parameter'!I:I,MATCH("tank_ref",'Local Parameter'!$A:$A,0))),"WBT6",IF(INDEX('Local Parameter'!I:I,MATCH("tank_ref",'Local Parameter'!$A:$A,0))="","WBT6",INDEX('Local Parameter'!I:I,MATCH("tank_ref",'Local Parameter'!$A:$A,0)))),'Tank Data'!$A:$A,0))="",42,INDEX('Tank Data'!$C:$C,MATCH(IF(ISBLANK(INDEX('Local Parameter'!I:I,MATCH("tank_ref",'Local Parameter'!$A:$A,0))),"WBT6",IF(INDEX('Local Parameter'!I:I,MATCH("tank_ref",'Local Parameter'!$A:$A,0))="","WBT6",INDEX('Local Parameter'!I:I,MATCH("tank_ref",'Local Parameter'!$A:$A,0)))),'Tank Data'!$A:$A,0))))&amp;" m"&amp;";"</f>
        <v/>
      </c>
      <c r="D39">
        <f>"var l_tank = "&amp;""&amp;IF(ISBLANK(INDEX('Tank Data'!$C:$C,MATCH(IF(ISBLANK(INDEX('Local Parameter'!J:J,MATCH("tank_ref",'Local Parameter'!$A:$A,0))),"WBT6",IF(INDEX('Local Parameter'!J:J,MATCH("tank_ref",'Local Parameter'!$A:$A,0))="","WBT6",INDEX('Local Parameter'!J:J,MATCH("tank_ref",'Local Parameter'!$A:$A,0)))),'Tank Data'!$A:$A,0))),42,IF(INDEX('Tank Data'!$C:$C,MATCH(IF(ISBLANK(INDEX('Local Parameter'!J:J,MATCH("tank_ref",'Local Parameter'!$A:$A,0))),"WBT6",IF(INDEX('Local Parameter'!J:J,MATCH("tank_ref",'Local Parameter'!$A:$A,0))="","WBT6",INDEX('Local Parameter'!J:J,MATCH("tank_ref",'Local Parameter'!$A:$A,0)))),'Tank Data'!$A:$A,0))="",42,INDEX('Tank Data'!$C:$C,MATCH(IF(ISBLANK(INDEX('Local Parameter'!J:J,MATCH("tank_ref",'Local Parameter'!$A:$A,0))),"WBT6",IF(INDEX('Local Parameter'!J:J,MATCH("tank_ref",'Local Parameter'!$A:$A,0))="","WBT6",INDEX('Local Parameter'!J:J,MATCH("tank_ref",'Local Parameter'!$A:$A,0)))),'Tank Data'!$A:$A,0))))&amp;" m"&amp;";"</f>
        <v/>
      </c>
      <c r="E39">
        <f>"var l_tank = "&amp;""&amp;IF(ISBLANK(INDEX('Tank Data'!$C:$C,MATCH(IF(ISBLANK(INDEX('Local Parameter'!K:K,MATCH("tank_ref",'Local Parameter'!$A:$A,0))),"WBT6",IF(INDEX('Local Parameter'!K:K,MATCH("tank_ref",'Local Parameter'!$A:$A,0))="","WBT6",INDEX('Local Parameter'!K:K,MATCH("tank_ref",'Local Parameter'!$A:$A,0)))),'Tank Data'!$A:$A,0))),42,IF(INDEX('Tank Data'!$C:$C,MATCH(IF(ISBLANK(INDEX('Local Parameter'!K:K,MATCH("tank_ref",'Local Parameter'!$A:$A,0))),"WBT6",IF(INDEX('Local Parameter'!K:K,MATCH("tank_ref",'Local Parameter'!$A:$A,0))="","WBT6",INDEX('Local Parameter'!K:K,MATCH("tank_ref",'Local Parameter'!$A:$A,0)))),'Tank Data'!$A:$A,0))="",42,INDEX('Tank Data'!$C:$C,MATCH(IF(ISBLANK(INDEX('Local Parameter'!K:K,MATCH("tank_ref",'Local Parameter'!$A:$A,0))),"WBT6",IF(INDEX('Local Parameter'!K:K,MATCH("tank_ref",'Local Parameter'!$A:$A,0))="","WBT6",INDEX('Local Parameter'!K:K,MATCH("tank_ref",'Local Parameter'!$A:$A,0)))),'Tank Data'!$A:$A,0))))&amp;" m"&amp;";"</f>
        <v/>
      </c>
    </row>
    <row r="40">
      <c r="B40">
        <f>"var b_tank = "&amp;""&amp;IF(ISBLANK(INDEX('Tank Data'!$D:$D,MATCH(IF(ISBLANK(INDEX('Local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Data'!$A:$A,0))),32,IF(INDEX('Tank Data'!$D:$D,MATCH(IF(ISBLANK(INDEX('Local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Data'!$A:$A,0))="",32,INDEX('Tank Data'!$D:$D,MATCH(IF(ISBLANK(INDEX('Local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Data'!$A:$A,0))))&amp;" m"&amp;";"</f>
        <v/>
      </c>
      <c r="C40">
        <f>"var b_tank = "&amp;""&amp;IF(ISBLANK(INDEX('Tank Data'!$D:$D,MATCH(IF(ISBLANK(INDEX('Local Parameter'!I:I,MATCH("tank_ref",'Local Parameter'!$A:$A,0))),"WBT6",IF(INDEX('Local Parameter'!I:I,MATCH("tank_ref",'Local Parameter'!$A:$A,0))="","WBT6",INDEX('Local Parameter'!I:I,MATCH("tank_ref",'Local Parameter'!$A:$A,0)))),'Tank Data'!$A:$A,0))),32,IF(INDEX('Tank Data'!$D:$D,MATCH(IF(ISBLANK(INDEX('Local Parameter'!I:I,MATCH("tank_ref",'Local Parameter'!$A:$A,0))),"WBT6",IF(INDEX('Local Parameter'!I:I,MATCH("tank_ref",'Local Parameter'!$A:$A,0))="","WBT6",INDEX('Local Parameter'!I:I,MATCH("tank_ref",'Local Parameter'!$A:$A,0)))),'Tank Data'!$A:$A,0))="",32,INDEX('Tank Data'!$D:$D,MATCH(IF(ISBLANK(INDEX('Local Parameter'!I:I,MATCH("tank_ref",'Local Parameter'!$A:$A,0))),"WBT6",IF(INDEX('Local Parameter'!I:I,MATCH("tank_ref",'Local Parameter'!$A:$A,0))="","WBT6",INDEX('Local Parameter'!I:I,MATCH("tank_ref",'Local Parameter'!$A:$A,0)))),'Tank Data'!$A:$A,0))))&amp;" m"&amp;";"</f>
        <v/>
      </c>
      <c r="D40">
        <f>"var b_tank = "&amp;""&amp;IF(ISBLANK(INDEX('Tank Data'!$D:$D,MATCH(IF(ISBLANK(INDEX('Local Parameter'!J:J,MATCH("tank_ref",'Local Parameter'!$A:$A,0))),"WBT6",IF(INDEX('Local Parameter'!J:J,MATCH("tank_ref",'Local Parameter'!$A:$A,0))="","WBT6",INDEX('Local Parameter'!J:J,MATCH("tank_ref",'Local Parameter'!$A:$A,0)))),'Tank Data'!$A:$A,0))),32,IF(INDEX('Tank Data'!$D:$D,MATCH(IF(ISBLANK(INDEX('Local Parameter'!J:J,MATCH("tank_ref",'Local Parameter'!$A:$A,0))),"WBT6",IF(INDEX('Local Parameter'!J:J,MATCH("tank_ref",'Local Parameter'!$A:$A,0))="","WBT6",INDEX('Local Parameter'!J:J,MATCH("tank_ref",'Local Parameter'!$A:$A,0)))),'Tank Data'!$A:$A,0))="",32,INDEX('Tank Data'!$D:$D,MATCH(IF(ISBLANK(INDEX('Local Parameter'!J:J,MATCH("tank_ref",'Local Parameter'!$A:$A,0))),"WBT6",IF(INDEX('Local Parameter'!J:J,MATCH("tank_ref",'Local Parameter'!$A:$A,0))="","WBT6",INDEX('Local Parameter'!J:J,MATCH("tank_ref",'Local Parameter'!$A:$A,0)))),'Tank Data'!$A:$A,0))))&amp;" m"&amp;";"</f>
        <v/>
      </c>
      <c r="E40">
        <f>"var b_tank = "&amp;""&amp;IF(ISBLANK(INDEX('Tank Data'!$D:$D,MATCH(IF(ISBLANK(INDEX('Local Parameter'!K:K,MATCH("tank_ref",'Local Parameter'!$A:$A,0))),"WBT6",IF(INDEX('Local Parameter'!K:K,MATCH("tank_ref",'Local Parameter'!$A:$A,0))="","WBT6",INDEX('Local Parameter'!K:K,MATCH("tank_ref",'Local Parameter'!$A:$A,0)))),'Tank Data'!$A:$A,0))),32,IF(INDEX('Tank Data'!$D:$D,MATCH(IF(ISBLANK(INDEX('Local Parameter'!K:K,MATCH("tank_ref",'Local Parameter'!$A:$A,0))),"WBT6",IF(INDEX('Local Parameter'!K:K,MATCH("tank_ref",'Local Parameter'!$A:$A,0))="","WBT6",INDEX('Local Parameter'!K:K,MATCH("tank_ref",'Local Parameter'!$A:$A,0)))),'Tank Data'!$A:$A,0))="",32,INDEX('Tank Data'!$D:$D,MATCH(IF(ISBLANK(INDEX('Local Parameter'!K:K,MATCH("tank_ref",'Local Parameter'!$A:$A,0))),"WBT6",IF(INDEX('Local Parameter'!K:K,MATCH("tank_ref",'Local Parameter'!$A:$A,0))="","WBT6",INDEX('Local Parameter'!K:K,MATCH("tank_ref",'Local Parameter'!$A:$A,0)))),'Tank Data'!$A:$A,0))))&amp;" m"&amp;";"</f>
        <v/>
      </c>
    </row>
    <row r="41">
      <c r="B41">
        <f>"var h_tank = "&amp;""&amp;IF(ISBLANK(INDEX('Tank Data'!$E:$E,MATCH(IF(ISBLANK(INDEX('Local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Data'!$A:$A,0))),32,IF(INDEX('Tank Data'!$E:$E,MATCH(IF(ISBLANK(INDEX('Local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Data'!$A:$A,0))="",32,INDEX('Tank Data'!$E:$E,MATCH(IF(ISBLANK(INDEX('Local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Data'!$A:$A,0))))&amp;" m"&amp;";"</f>
        <v/>
      </c>
      <c r="C41">
        <f>"var h_tank = "&amp;""&amp;IF(ISBLANK(INDEX('Tank Data'!$E:$E,MATCH(IF(ISBLANK(INDEX('Local Parameter'!I:I,MATCH("tank_ref",'Local Parameter'!$A:$A,0))),"WBT6",IF(INDEX('Local Parameter'!I:I,MATCH("tank_ref",'Local Parameter'!$A:$A,0))="","WBT6",INDEX('Local Parameter'!I:I,MATCH("tank_ref",'Local Parameter'!$A:$A,0)))),'Tank Data'!$A:$A,0))),32,IF(INDEX('Tank Data'!$E:$E,MATCH(IF(ISBLANK(INDEX('Local Parameter'!I:I,MATCH("tank_ref",'Local Parameter'!$A:$A,0))),"WBT6",IF(INDEX('Local Parameter'!I:I,MATCH("tank_ref",'Local Parameter'!$A:$A,0))="","WBT6",INDEX('Local Parameter'!I:I,MATCH("tank_ref",'Local Parameter'!$A:$A,0)))),'Tank Data'!$A:$A,0))="",32,INDEX('Tank Data'!$E:$E,MATCH(IF(ISBLANK(INDEX('Local Parameter'!I:I,MATCH("tank_ref",'Local Parameter'!$A:$A,0))),"WBT6",IF(INDEX('Local Parameter'!I:I,MATCH("tank_ref",'Local Parameter'!$A:$A,0))="","WBT6",INDEX('Local Parameter'!I:I,MATCH("tank_ref",'Local Parameter'!$A:$A,0)))),'Tank Data'!$A:$A,0))))&amp;" m"&amp;";"</f>
        <v/>
      </c>
      <c r="D41">
        <f>"var h_tank = "&amp;""&amp;IF(ISBLANK(INDEX('Tank Data'!$E:$E,MATCH(IF(ISBLANK(INDEX('Local Parameter'!J:J,MATCH("tank_ref",'Local Parameter'!$A:$A,0))),"WBT6",IF(INDEX('Local Parameter'!J:J,MATCH("tank_ref",'Local Parameter'!$A:$A,0))="","WBT6",INDEX('Local Parameter'!J:J,MATCH("tank_ref",'Local Parameter'!$A:$A,0)))),'Tank Data'!$A:$A,0))),32,IF(INDEX('Tank Data'!$E:$E,MATCH(IF(ISBLANK(INDEX('Local Parameter'!J:J,MATCH("tank_ref",'Local Parameter'!$A:$A,0))),"WBT6",IF(INDEX('Local Parameter'!J:J,MATCH("tank_ref",'Local Parameter'!$A:$A,0))="","WBT6",INDEX('Local Parameter'!J:J,MATCH("tank_ref",'Local Parameter'!$A:$A,0)))),'Tank Data'!$A:$A,0))="",32,INDEX('Tank Data'!$E:$E,MATCH(IF(ISBLANK(INDEX('Local Parameter'!J:J,MATCH("tank_ref",'Local Parameter'!$A:$A,0))),"WBT6",IF(INDEX('Local Parameter'!J:J,MATCH("tank_ref",'Local Parameter'!$A:$A,0))="","WBT6",INDEX('Local Parameter'!J:J,MATCH("tank_ref",'Local Parameter'!$A:$A,0)))),'Tank Data'!$A:$A,0))))&amp;" m"&amp;";"</f>
        <v/>
      </c>
      <c r="E41">
        <f>"var h_tank = "&amp;""&amp;IF(ISBLANK(INDEX('Tank Data'!$E:$E,MATCH(IF(ISBLANK(INDEX('Local Parameter'!K:K,MATCH("tank_ref",'Local Parameter'!$A:$A,0))),"WBT6",IF(INDEX('Local Parameter'!K:K,MATCH("tank_ref",'Local Parameter'!$A:$A,0))="","WBT6",INDEX('Local Parameter'!K:K,MATCH("tank_ref",'Local Parameter'!$A:$A,0)))),'Tank Data'!$A:$A,0))),32,IF(INDEX('Tank Data'!$E:$E,MATCH(IF(ISBLANK(INDEX('Local Parameter'!K:K,MATCH("tank_ref",'Local Parameter'!$A:$A,0))),"WBT6",IF(INDEX('Local Parameter'!K:K,MATCH("tank_ref",'Local Parameter'!$A:$A,0))="","WBT6",INDEX('Local Parameter'!K:K,MATCH("tank_ref",'Local Parameter'!$A:$A,0)))),'Tank Data'!$A:$A,0))="",32,INDEX('Tank Data'!$E:$E,MATCH(IF(ISBLANK(INDEX('Local Parameter'!K:K,MATCH("tank_ref",'Local Parameter'!$A:$A,0))),"WBT6",IF(INDEX('Local Parameter'!K:K,MATCH("tank_ref",'Local Parameter'!$A:$A,0))="","WBT6",INDEX('Local Parameter'!K:K,MATCH("tank_ref",'Local Parameter'!$A:$A,0)))),'Tank Data'!$A:$A,0))))&amp;" m"&amp;";"</f>
        <v/>
      </c>
    </row>
    <row r="42">
      <c r="B42">
        <f>"var eta_deck = "&amp;""&amp;IF(ISBLANK(INDEX('Tank Data'!$F:$F,MATCH(IF(ISBLANK(INDEX('Local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Data'!$A:$A,0))),0,IF(INDEX('Tank Data'!$F:$F,MATCH(IF(ISBLANK(INDEX('Local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Data'!$A:$A,0))="",0,INDEX('Tank Data'!$F:$F,MATCH(IF(ISBLANK(INDEX('Local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Data'!$A:$A,0))))&amp;" m"&amp;";"</f>
        <v/>
      </c>
      <c r="C42">
        <f>"var eta_deck = "&amp;""&amp;IF(ISBLANK(INDEX('Tank Data'!$F:$F,MATCH(IF(ISBLANK(INDEX('Local Parameter'!I:I,MATCH("tank_ref",'Local Parameter'!$A:$A,0))),"WBT6",IF(INDEX('Local Parameter'!I:I,MATCH("tank_ref",'Local Parameter'!$A:$A,0))="","WBT6",INDEX('Local Parameter'!I:I,MATCH("tank_ref",'Local Parameter'!$A:$A,0)))),'Tank Data'!$A:$A,0))),0,IF(INDEX('Tank Data'!$F:$F,MATCH(IF(ISBLANK(INDEX('Local Parameter'!I:I,MATCH("tank_ref",'Local Parameter'!$A:$A,0))),"WBT6",IF(INDEX('Local Parameter'!I:I,MATCH("tank_ref",'Local Parameter'!$A:$A,0))="","WBT6",INDEX('Local Parameter'!I:I,MATCH("tank_ref",'Local Parameter'!$A:$A,0)))),'Tank Data'!$A:$A,0))="",0,INDEX('Tank Data'!$F:$F,MATCH(IF(ISBLANK(INDEX('Local Parameter'!I:I,MATCH("tank_ref",'Local Parameter'!$A:$A,0))),"WBT6",IF(INDEX('Local Parameter'!I:I,MATCH("tank_ref",'Local Parameter'!$A:$A,0))="","WBT6",INDEX('Local Parameter'!I:I,MATCH("tank_ref",'Local Parameter'!$A:$A,0)))),'Tank Data'!$A:$A,0))))&amp;" m"&amp;";"</f>
        <v/>
      </c>
      <c r="D42">
        <f>"var eta_deck = "&amp;""&amp;IF(ISBLANK(INDEX('Tank Data'!$F:$F,MATCH(IF(ISBLANK(INDEX('Local Parameter'!J:J,MATCH("tank_ref",'Local Parameter'!$A:$A,0))),"WBT6",IF(INDEX('Local Parameter'!J:J,MATCH("tank_ref",'Local Parameter'!$A:$A,0))="","WBT6",INDEX('Local Parameter'!J:J,MATCH("tank_ref",'Local Parameter'!$A:$A,0)))),'Tank Data'!$A:$A,0))),0,IF(INDEX('Tank Data'!$F:$F,MATCH(IF(ISBLANK(INDEX('Local Parameter'!J:J,MATCH("tank_ref",'Local Parameter'!$A:$A,0))),"WBT6",IF(INDEX('Local Parameter'!J:J,MATCH("tank_ref",'Local Parameter'!$A:$A,0))="","WBT6",INDEX('Local Parameter'!J:J,MATCH("tank_ref",'Local Parameter'!$A:$A,0)))),'Tank Data'!$A:$A,0))="",0,INDEX('Tank Data'!$F:$F,MATCH(IF(ISBLANK(INDEX('Local Parameter'!J:J,MATCH("tank_ref",'Local Parameter'!$A:$A,0))),"WBT6",IF(INDEX('Local Parameter'!J:J,MATCH("tank_ref",'Local Parameter'!$A:$A,0))="","WBT6",INDEX('Local Parameter'!J:J,MATCH("tank_ref",'Local Parameter'!$A:$A,0)))),'Tank Data'!$A:$A,0))))&amp;" m"&amp;";"</f>
        <v/>
      </c>
      <c r="E42">
        <f>"var eta_deck = "&amp;""&amp;IF(ISBLANK(INDEX('Tank Data'!$F:$F,MATCH(IF(ISBLANK(INDEX('Local Parameter'!K:K,MATCH("tank_ref",'Local Parameter'!$A:$A,0))),"WBT6",IF(INDEX('Local Parameter'!K:K,MATCH("tank_ref",'Local Parameter'!$A:$A,0))="","WBT6",INDEX('Local Parameter'!K:K,MATCH("tank_ref",'Local Parameter'!$A:$A,0)))),'Tank Data'!$A:$A,0))),0,IF(INDEX('Tank Data'!$F:$F,MATCH(IF(ISBLANK(INDEX('Local Parameter'!K:K,MATCH("tank_ref",'Local Parameter'!$A:$A,0))),"WBT6",IF(INDEX('Local Parameter'!K:K,MATCH("tank_ref",'Local Parameter'!$A:$A,0))="","WBT6",INDEX('Local Parameter'!K:K,MATCH("tank_ref",'Local Parameter'!$A:$A,0)))),'Tank Data'!$A:$A,0))="",0,INDEX('Tank Data'!$F:$F,MATCH(IF(ISBLANK(INDEX('Local Parameter'!K:K,MATCH("tank_ref",'Local Parameter'!$A:$A,0))),"WBT6",IF(INDEX('Local Parameter'!K:K,MATCH("tank_ref",'Local Parameter'!$A:$A,0))="","WBT6",INDEX('Local Parameter'!K:K,MATCH("tank_ref",'Local Parameter'!$A:$A,0)))),'Tank Data'!$A:$A,0))))&amp;" m"&amp;";"</f>
        <v/>
      </c>
    </row>
    <row r="43">
      <c r="B43">
        <f>"var eta_overflow = "&amp;""&amp;IF(ISBLANK(INDEX('Tank Data'!$G:$G,MATCH(IF(ISBLANK(INDEX('Local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Data'!$A:$A,0))),0,IF(INDEX('Tank Data'!$G:$G,MATCH(IF(ISBLANK(INDEX('Local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Data'!$A:$A,0))="",0,INDEX('Tank Data'!$G:$G,MATCH(IF(ISBLANK(INDEX('Local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Data'!$A:$A,0))))&amp;" m"&amp;";"</f>
        <v/>
      </c>
      <c r="C43">
        <f>"var eta_overflow = "&amp;""&amp;IF(ISBLANK(INDEX('Tank Data'!$G:$G,MATCH(IF(ISBLANK(INDEX('Local Parameter'!I:I,MATCH("tank_ref",'Local Parameter'!$A:$A,0))),"WBT6",IF(INDEX('Local Parameter'!I:I,MATCH("tank_ref",'Local Parameter'!$A:$A,0))="","WBT6",INDEX('Local Parameter'!I:I,MATCH("tank_ref",'Local Parameter'!$A:$A,0)))),'Tank Data'!$A:$A,0))),0,IF(INDEX('Tank Data'!$G:$G,MATCH(IF(ISBLANK(INDEX('Local Parameter'!I:I,MATCH("tank_ref",'Local Parameter'!$A:$A,0))),"WBT6",IF(INDEX('Local Parameter'!I:I,MATCH("tank_ref",'Local Parameter'!$A:$A,0))="","WBT6",INDEX('Local Parameter'!I:I,MATCH("tank_ref",'Local Parameter'!$A:$A,0)))),'Tank Data'!$A:$A,0))="",0,INDEX('Tank Data'!$G:$G,MATCH(IF(ISBLANK(INDEX('Local Parameter'!I:I,MATCH("tank_ref",'Local Parameter'!$A:$A,0))),"WBT6",IF(INDEX('Local Parameter'!I:I,MATCH("tank_ref",'Local Parameter'!$A:$A,0))="","WBT6",INDEX('Local Parameter'!I:I,MATCH("tank_ref",'Local Parameter'!$A:$A,0)))),'Tank Data'!$A:$A,0))))&amp;" m"&amp;";"</f>
        <v/>
      </c>
      <c r="D43">
        <f>"var eta_overflow = "&amp;""&amp;IF(ISBLANK(INDEX('Tank Data'!$G:$G,MATCH(IF(ISBLANK(INDEX('Local Parameter'!J:J,MATCH("tank_ref",'Local Parameter'!$A:$A,0))),"WBT6",IF(INDEX('Local Parameter'!J:J,MATCH("tank_ref",'Local Parameter'!$A:$A,0))="","WBT6",INDEX('Local Parameter'!J:J,MATCH("tank_ref",'Local Parameter'!$A:$A,0)))),'Tank Data'!$A:$A,0))),0,IF(INDEX('Tank Data'!$G:$G,MATCH(IF(ISBLANK(INDEX('Local Parameter'!J:J,MATCH("tank_ref",'Local Parameter'!$A:$A,0))),"WBT6",IF(INDEX('Local Parameter'!J:J,MATCH("tank_ref",'Local Parameter'!$A:$A,0))="","WBT6",INDEX('Local Parameter'!J:J,MATCH("tank_ref",'Local Parameter'!$A:$A,0)))),'Tank Data'!$A:$A,0))="",0,INDEX('Tank Data'!$G:$G,MATCH(IF(ISBLANK(INDEX('Local Parameter'!J:J,MATCH("tank_ref",'Local Parameter'!$A:$A,0))),"WBT6",IF(INDEX('Local Parameter'!J:J,MATCH("tank_ref",'Local Parameter'!$A:$A,0))="","WBT6",INDEX('Local Parameter'!J:J,MATCH("tank_ref",'Local Parameter'!$A:$A,0)))),'Tank Data'!$A:$A,0))))&amp;" m"&amp;";"</f>
        <v/>
      </c>
      <c r="E43">
        <f>"var eta_overflow = "&amp;""&amp;IF(ISBLANK(INDEX('Tank Data'!$G:$G,MATCH(IF(ISBLANK(INDEX('Local Parameter'!K:K,MATCH("tank_ref",'Local Parameter'!$A:$A,0))),"WBT6",IF(INDEX('Local Parameter'!K:K,MATCH("tank_ref",'Local Parameter'!$A:$A,0))="","WBT6",INDEX('Local Parameter'!K:K,MATCH("tank_ref",'Local Parameter'!$A:$A,0)))),'Tank Data'!$A:$A,0))),0,IF(INDEX('Tank Data'!$G:$G,MATCH(IF(ISBLANK(INDEX('Local Parameter'!K:K,MATCH("tank_ref",'Local Parameter'!$A:$A,0))),"WBT6",IF(INDEX('Local Parameter'!K:K,MATCH("tank_ref",'Local Parameter'!$A:$A,0))="","WBT6",INDEX('Local Parameter'!K:K,MATCH("tank_ref",'Local Parameter'!$A:$A,0)))),'Tank Data'!$A:$A,0))="",0,INDEX('Tank Data'!$G:$G,MATCH(IF(ISBLANK(INDEX('Local Parameter'!K:K,MATCH("tank_ref",'Local Parameter'!$A:$A,0))),"WBT6",IF(INDEX('Local Parameter'!K:K,MATCH("tank_ref",'Local Parameter'!$A:$A,0))="","WBT6",INDEX('Local Parameter'!K:K,MATCH("tank_ref",'Local Parameter'!$A:$A,0)))),'Tank Data'!$A:$A,0))))&amp;" m"&amp;";"</f>
        <v/>
      </c>
    </row>
    <row r="44">
      <c r="B44">
        <f>"var C_dp = "&amp;""&amp;IF(ISBLANK(INDEX('Tank Data'!$H:$H,MATCH(IF(ISBLANK(INDEX('Local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Data'!$A:$A,0))),1,IF(INDEX('Tank Data'!$H:$H,MATCH(IF(ISBLANK(INDEX('Local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Data'!$A:$A,0))="",1,INDEX('Tank Data'!$H:$H,MATCH(IF(ISBLANK(INDEX('Local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Data'!$A:$A,0))))&amp;""&amp;";"</f>
        <v/>
      </c>
      <c r="C44">
        <f>"var C_dp = "&amp;""&amp;IF(ISBLANK(INDEX('Tank Data'!$H:$H,MATCH(IF(ISBLANK(INDEX('Local Parameter'!I:I,MATCH("tank_ref",'Local Parameter'!$A:$A,0))),"WBT6",IF(INDEX('Local Parameter'!I:I,MATCH("tank_ref",'Local Parameter'!$A:$A,0))="","WBT6",INDEX('Local Parameter'!I:I,MATCH("tank_ref",'Local Parameter'!$A:$A,0)))),'Tank Data'!$A:$A,0))),1,IF(INDEX('Tank Data'!$H:$H,MATCH(IF(ISBLANK(INDEX('Local Parameter'!I:I,MATCH("tank_ref",'Local Parameter'!$A:$A,0))),"WBT6",IF(INDEX('Local Parameter'!I:I,MATCH("tank_ref",'Local Parameter'!$A:$A,0))="","WBT6",INDEX('Local Parameter'!I:I,MATCH("tank_ref",'Local Parameter'!$A:$A,0)))),'Tank Data'!$A:$A,0))="",1,INDEX('Tank Data'!$H:$H,MATCH(IF(ISBLANK(INDEX('Local Parameter'!I:I,MATCH("tank_ref",'Local Parameter'!$A:$A,0))),"WBT6",IF(INDEX('Local Parameter'!I:I,MATCH("tank_ref",'Local Parameter'!$A:$A,0))="","WBT6",INDEX('Local Parameter'!I:I,MATCH("tank_ref",'Local Parameter'!$A:$A,0)))),'Tank Data'!$A:$A,0))))&amp;""&amp;";"</f>
        <v/>
      </c>
      <c r="D44">
        <f>"var C_dp = "&amp;""&amp;IF(ISBLANK(INDEX('Tank Data'!$H:$H,MATCH(IF(ISBLANK(INDEX('Local Parameter'!J:J,MATCH("tank_ref",'Local Parameter'!$A:$A,0))),"WBT6",IF(INDEX('Local Parameter'!J:J,MATCH("tank_ref",'Local Parameter'!$A:$A,0))="","WBT6",INDEX('Local Parameter'!J:J,MATCH("tank_ref",'Local Parameter'!$A:$A,0)))),'Tank Data'!$A:$A,0))),1,IF(INDEX('Tank Data'!$H:$H,MATCH(IF(ISBLANK(INDEX('Local Parameter'!J:J,MATCH("tank_ref",'Local Parameter'!$A:$A,0))),"WBT6",IF(INDEX('Local Parameter'!J:J,MATCH("tank_ref",'Local Parameter'!$A:$A,0))="","WBT6",INDEX('Local Parameter'!J:J,MATCH("tank_ref",'Local Parameter'!$A:$A,0)))),'Tank Data'!$A:$A,0))="",1,INDEX('Tank Data'!$H:$H,MATCH(IF(ISBLANK(INDEX('Local Parameter'!J:J,MATCH("tank_ref",'Local Parameter'!$A:$A,0))),"WBT6",IF(INDEX('Local Parameter'!J:J,MATCH("tank_ref",'Local Parameter'!$A:$A,0))="","WBT6",INDEX('Local Parameter'!J:J,MATCH("tank_ref",'Local Parameter'!$A:$A,0)))),'Tank Data'!$A:$A,0))))&amp;""&amp;";"</f>
        <v/>
      </c>
      <c r="E44">
        <f>"var C_dp = "&amp;""&amp;IF(ISBLANK(INDEX('Tank Data'!$H:$H,MATCH(IF(ISBLANK(INDEX('Local Parameter'!K:K,MATCH("tank_ref",'Local Parameter'!$A:$A,0))),"WBT6",IF(INDEX('Local Parameter'!K:K,MATCH("tank_ref",'Local Parameter'!$A:$A,0))="","WBT6",INDEX('Local Parameter'!K:K,MATCH("tank_ref",'Local Parameter'!$A:$A,0)))),'Tank Data'!$A:$A,0))),1,IF(INDEX('Tank Data'!$H:$H,MATCH(IF(ISBLANK(INDEX('Local Parameter'!K:K,MATCH("tank_ref",'Local Parameter'!$A:$A,0))),"WBT6",IF(INDEX('Local Parameter'!K:K,MATCH("tank_ref",'Local Parameter'!$A:$A,0))="","WBT6",INDEX('Local Parameter'!K:K,MATCH("tank_ref",'Local Parameter'!$A:$A,0)))),'Tank Data'!$A:$A,0))="",1,INDEX('Tank Data'!$H:$H,MATCH(IF(ISBLANK(INDEX('Local Parameter'!K:K,MATCH("tank_ref",'Local Parameter'!$A:$A,0))),"WBT6",IF(INDEX('Local Parameter'!K:K,MATCH("tank_ref",'Local Parameter'!$A:$A,0))="","WBT6",INDEX('Local Parameter'!K:K,MATCH("tank_ref",'Local Parameter'!$A:$A,0)))),'Tank Data'!$A:$A,0))))&amp;""&amp;";"</f>
        <v/>
      </c>
    </row>
    <row r="45">
      <c r="B45">
        <f>"var C_ru = "&amp;""&amp;IF(ISBLANK(INDEX('Tank Data'!$I:$I,MATCH(IF(ISBLANK(INDEX('Local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Data'!$A:$A,0))),1,IF(INDEX('Tank Data'!$I:$I,MATCH(IF(ISBLANK(INDEX('Local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Data'!$A:$A,0))="",1,INDEX('Tank Data'!$I:$I,MATCH(IF(ISBLANK(INDEX('Local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Data'!$A:$A,0))))&amp;""&amp;";"</f>
        <v/>
      </c>
      <c r="C45">
        <f>"var C_ru = "&amp;""&amp;IF(ISBLANK(INDEX('Tank Data'!$I:$I,MATCH(IF(ISBLANK(INDEX('Local Parameter'!I:I,MATCH("tank_ref",'Local Parameter'!$A:$A,0))),"WBT6",IF(INDEX('Local Parameter'!I:I,MATCH("tank_ref",'Local Parameter'!$A:$A,0))="","WBT6",INDEX('Local Parameter'!I:I,MATCH("tank_ref",'Local Parameter'!$A:$A,0)))),'Tank Data'!$A:$A,0))),1,IF(INDEX('Tank Data'!$I:$I,MATCH(IF(ISBLANK(INDEX('Local Parameter'!I:I,MATCH("tank_ref",'Local Parameter'!$A:$A,0))),"WBT6",IF(INDEX('Local Parameter'!I:I,MATCH("tank_ref",'Local Parameter'!$A:$A,0))="","WBT6",INDEX('Local Parameter'!I:I,MATCH("tank_ref",'Local Parameter'!$A:$A,0)))),'Tank Data'!$A:$A,0))="",1,INDEX('Tank Data'!$I:$I,MATCH(IF(ISBLANK(INDEX('Local Parameter'!I:I,MATCH("tank_ref",'Local Parameter'!$A:$A,0))),"WBT6",IF(INDEX('Local Parameter'!I:I,MATCH("tank_ref",'Local Parameter'!$A:$A,0))="","WBT6",INDEX('Local Parameter'!I:I,MATCH("tank_ref",'Local Parameter'!$A:$A,0)))),'Tank Data'!$A:$A,0))))&amp;""&amp;";"</f>
        <v/>
      </c>
      <c r="D45">
        <f>"var C_ru = "&amp;""&amp;IF(ISBLANK(INDEX('Tank Data'!$I:$I,MATCH(IF(ISBLANK(INDEX('Local Parameter'!J:J,MATCH("tank_ref",'Local Parameter'!$A:$A,0))),"WBT6",IF(INDEX('Local Parameter'!J:J,MATCH("tank_ref",'Local Parameter'!$A:$A,0))="","WBT6",INDEX('Local Parameter'!J:J,MATCH("tank_ref",'Local Parameter'!$A:$A,0)))),'Tank Data'!$A:$A,0))),1,IF(INDEX('Tank Data'!$I:$I,MATCH(IF(ISBLANK(INDEX('Local Parameter'!J:J,MATCH("tank_ref",'Local Parameter'!$A:$A,0))),"WBT6",IF(INDEX('Local Parameter'!J:J,MATCH("tank_ref",'Local Parameter'!$A:$A,0))="","WBT6",INDEX('Local Parameter'!J:J,MATCH("tank_ref",'Local Parameter'!$A:$A,0)))),'Tank Data'!$A:$A,0))="",1,INDEX('Tank Data'!$I:$I,MATCH(IF(ISBLANK(INDEX('Local Parameter'!J:J,MATCH("tank_ref",'Local Parameter'!$A:$A,0))),"WBT6",IF(INDEX('Local Parameter'!J:J,MATCH("tank_ref",'Local Parameter'!$A:$A,0))="","WBT6",INDEX('Local Parameter'!J:J,MATCH("tank_ref",'Local Parameter'!$A:$A,0)))),'Tank Data'!$A:$A,0))))&amp;""&amp;";"</f>
        <v/>
      </c>
      <c r="E45">
        <f>"var C_ru = "&amp;""&amp;IF(ISBLANK(INDEX('Tank Data'!$I:$I,MATCH(IF(ISBLANK(INDEX('Local Parameter'!K:K,MATCH("tank_ref",'Local Parameter'!$A:$A,0))),"WBT6",IF(INDEX('Local Parameter'!K:K,MATCH("tank_ref",'Local Parameter'!$A:$A,0))="","WBT6",INDEX('Local Parameter'!K:K,MATCH("tank_ref",'Local Parameter'!$A:$A,0)))),'Tank Data'!$A:$A,0))),1,IF(INDEX('Tank Data'!$I:$I,MATCH(IF(ISBLANK(INDEX('Local Parameter'!K:K,MATCH("tank_ref",'Local Parameter'!$A:$A,0))),"WBT6",IF(INDEX('Local Parameter'!K:K,MATCH("tank_ref",'Local Parameter'!$A:$A,0))="","WBT6",INDEX('Local Parameter'!K:K,MATCH("tank_ref",'Local Parameter'!$A:$A,0)))),'Tank Data'!$A:$A,0))="",1,INDEX('Tank Data'!$I:$I,MATCH(IF(ISBLANK(INDEX('Local Parameter'!K:K,MATCH("tank_ref",'Local Parameter'!$A:$A,0))),"WBT6",IF(INDEX('Local Parameter'!K:K,MATCH("tank_ref",'Local Parameter'!$A:$A,0))="","WBT6",INDEX('Local Parameter'!K:K,MATCH("tank_ref",'Local Parameter'!$A:$A,0)))),'Tank Data'!$A:$A,0))))&amp;""&amp;";"</f>
        <v/>
      </c>
    </row>
    <row r="46">
      <c r="B46">
        <f>"var p_vp = "&amp;""&amp;IF(ISBLANK(INDEX('Tank Data'!$J:$J,MATCH(IF(ISBLANK(INDEX('Local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Data'!$A:$A,0))),0,IF(INDEX('Tank Data'!$J:$J,MATCH(IF(ISBLANK(INDEX('Local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Data'!$A:$A,0))="",0,INDEX('Tank Data'!$J:$J,MATCH(IF(ISBLANK(INDEX('Local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Data'!$A:$A,0))))&amp;" N/cm^2"&amp;";"</f>
        <v/>
      </c>
      <c r="C46">
        <f>"var p_vp = "&amp;""&amp;IF(ISBLANK(INDEX('Tank Data'!$J:$J,MATCH(IF(ISBLANK(INDEX('Local Parameter'!I:I,MATCH("tank_ref",'Local Parameter'!$A:$A,0))),"WBT6",IF(INDEX('Local Parameter'!I:I,MATCH("tank_ref",'Local Parameter'!$A:$A,0))="","WBT6",INDEX('Local Parameter'!I:I,MATCH("tank_ref",'Local Parameter'!$A:$A,0)))),'Tank Data'!$A:$A,0))),0,IF(INDEX('Tank Data'!$J:$J,MATCH(IF(ISBLANK(INDEX('Local Parameter'!I:I,MATCH("tank_ref",'Local Parameter'!$A:$A,0))),"WBT6",IF(INDEX('Local Parameter'!I:I,MATCH("tank_ref",'Local Parameter'!$A:$A,0))="","WBT6",INDEX('Local Parameter'!I:I,MATCH("tank_ref",'Local Parameter'!$A:$A,0)))),'Tank Data'!$A:$A,0))="",0,INDEX('Tank Data'!$J:$J,MATCH(IF(ISBLANK(INDEX('Local Parameter'!I:I,MATCH("tank_ref",'Local Parameter'!$A:$A,0))),"WBT6",IF(INDEX('Local Parameter'!I:I,MATCH("tank_ref",'Local Parameter'!$A:$A,0))="","WBT6",INDEX('Local Parameter'!I:I,MATCH("tank_ref",'Local Parameter'!$A:$A,0)))),'Tank Data'!$A:$A,0))))&amp;" N/cm^2"&amp;";"</f>
        <v/>
      </c>
      <c r="D46">
        <f>"var p_vp = "&amp;""&amp;IF(ISBLANK(INDEX('Tank Data'!$J:$J,MATCH(IF(ISBLANK(INDEX('Local Parameter'!J:J,MATCH("tank_ref",'Local Parameter'!$A:$A,0))),"WBT6",IF(INDEX('Local Parameter'!J:J,MATCH("tank_ref",'Local Parameter'!$A:$A,0))="","WBT6",INDEX('Local Parameter'!J:J,MATCH("tank_ref",'Local Parameter'!$A:$A,0)))),'Tank Data'!$A:$A,0))),0,IF(INDEX('Tank Data'!$J:$J,MATCH(IF(ISBLANK(INDEX('Local Parameter'!J:J,MATCH("tank_ref",'Local Parameter'!$A:$A,0))),"WBT6",IF(INDEX('Local Parameter'!J:J,MATCH("tank_ref",'Local Parameter'!$A:$A,0))="","WBT6",INDEX('Local Parameter'!J:J,MATCH("tank_ref",'Local Parameter'!$A:$A,0)))),'Tank Data'!$A:$A,0))="",0,INDEX('Tank Data'!$J:$J,MATCH(IF(ISBLANK(INDEX('Local Parameter'!J:J,MATCH("tank_ref",'Local Parameter'!$A:$A,0))),"WBT6",IF(INDEX('Local Parameter'!J:J,MATCH("tank_ref",'Local Parameter'!$A:$A,0))="","WBT6",INDEX('Local Parameter'!J:J,MATCH("tank_ref",'Local Parameter'!$A:$A,0)))),'Tank Data'!$A:$A,0))))&amp;" N/cm^2"&amp;";"</f>
        <v/>
      </c>
      <c r="E46">
        <f>"var p_vp = "&amp;""&amp;IF(ISBLANK(INDEX('Tank Data'!$J:$J,MATCH(IF(ISBLANK(INDEX('Local Parameter'!K:K,MATCH("tank_ref",'Local Parameter'!$A:$A,0))),"WBT6",IF(INDEX('Local Parameter'!K:K,MATCH("tank_ref",'Local Parameter'!$A:$A,0))="","WBT6",INDEX('Local Parameter'!K:K,MATCH("tank_ref",'Local Parameter'!$A:$A,0)))),'Tank Data'!$A:$A,0))),0,IF(INDEX('Tank Data'!$J:$J,MATCH(IF(ISBLANK(INDEX('Local Parameter'!K:K,MATCH("tank_ref",'Local Parameter'!$A:$A,0))),"WBT6",IF(INDEX('Local Parameter'!K:K,MATCH("tank_ref",'Local Parameter'!$A:$A,0))="","WBT6",INDEX('Local Parameter'!K:K,MATCH("tank_ref",'Local Parameter'!$A:$A,0)))),'Tank Data'!$A:$A,0))="",0,INDEX('Tank Data'!$J:$J,MATCH(IF(ISBLANK(INDEX('Local Parameter'!K:K,MATCH("tank_ref",'Local Parameter'!$A:$A,0))),"WBT6",IF(INDEX('Local Parameter'!K:K,MATCH("tank_ref",'Local Parameter'!$A:$A,0))="","WBT6",INDEX('Local Parameter'!K:K,MATCH("tank_ref",'Local Parameter'!$A:$A,0)))),'Tank Data'!$A:$A,0))))&amp;" N/cm^2"&amp;";"</f>
        <v/>
      </c>
    </row>
    <row r="47">
      <c r="B47">
        <f>"var GM_full_in = "&amp;""&amp;IF(ISBLANK(INDEX('Tank Data'!$K:$K,MATCH(IF(ISBLANK(INDEX('Local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Data'!$A:$A,0))),0,IF(INDEX('Tank Data'!$K:$K,MATCH(IF(ISBLANK(INDEX('Local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Data'!$A:$A,0))="",0,INDEX('Tank Data'!$K:$K,MATCH(IF(ISBLANK(INDEX('Local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Data'!$A:$A,0))))&amp;" m"&amp;";"</f>
        <v/>
      </c>
      <c r="C47">
        <f>"var GM_full_in = "&amp;""&amp;IF(ISBLANK(INDEX('Tank Data'!$K:$K,MATCH(IF(ISBLANK(INDEX('Local Parameter'!I:I,MATCH("tank_ref",'Local Parameter'!$A:$A,0))),"WBT6",IF(INDEX('Local Parameter'!I:I,MATCH("tank_ref",'Local Parameter'!$A:$A,0))="","WBT6",INDEX('Local Parameter'!I:I,MATCH("tank_ref",'Local Parameter'!$A:$A,0)))),'Tank Data'!$A:$A,0))),0,IF(INDEX('Tank Data'!$K:$K,MATCH(IF(ISBLANK(INDEX('Local Parameter'!I:I,MATCH("tank_ref",'Local Parameter'!$A:$A,0))),"WBT6",IF(INDEX('Local Parameter'!I:I,MATCH("tank_ref",'Local Parameter'!$A:$A,0))="","WBT6",INDEX('Local Parameter'!I:I,MATCH("tank_ref",'Local Parameter'!$A:$A,0)))),'Tank Data'!$A:$A,0))="",0,INDEX('Tank Data'!$K:$K,MATCH(IF(ISBLANK(INDEX('Local Parameter'!I:I,MATCH("tank_ref",'Local Parameter'!$A:$A,0))),"WBT6",IF(INDEX('Local Parameter'!I:I,MATCH("tank_ref",'Local Parameter'!$A:$A,0))="","WBT6",INDEX('Local Parameter'!I:I,MATCH("tank_ref",'Local Parameter'!$A:$A,0)))),'Tank Data'!$A:$A,0))))&amp;" m"&amp;";"</f>
        <v/>
      </c>
      <c r="D47">
        <f>"var GM_full_in = "&amp;""&amp;IF(ISBLANK(INDEX('Tank Data'!$K:$K,MATCH(IF(ISBLANK(INDEX('Local Parameter'!J:J,MATCH("tank_ref",'Local Parameter'!$A:$A,0))),"WBT6",IF(INDEX('Local Parameter'!J:J,MATCH("tank_ref",'Local Parameter'!$A:$A,0))="","WBT6",INDEX('Local Parameter'!J:J,MATCH("tank_ref",'Local Parameter'!$A:$A,0)))),'Tank Data'!$A:$A,0))),0,IF(INDEX('Tank Data'!$K:$K,MATCH(IF(ISBLANK(INDEX('Local Parameter'!J:J,MATCH("tank_ref",'Local Parameter'!$A:$A,0))),"WBT6",IF(INDEX('Local Parameter'!J:J,MATCH("tank_ref",'Local Parameter'!$A:$A,0))="","WBT6",INDEX('Local Parameter'!J:J,MATCH("tank_ref",'Local Parameter'!$A:$A,0)))),'Tank Data'!$A:$A,0))="",0,INDEX('Tank Data'!$K:$K,MATCH(IF(ISBLANK(INDEX('Local Parameter'!J:J,MATCH("tank_ref",'Local Parameter'!$A:$A,0))),"WBT6",IF(INDEX('Local Parameter'!J:J,MATCH("tank_ref",'Local Parameter'!$A:$A,0))="","WBT6",INDEX('Local Parameter'!J:J,MATCH("tank_ref",'Local Parameter'!$A:$A,0)))),'Tank Data'!$A:$A,0))))&amp;" m"&amp;";"</f>
        <v/>
      </c>
      <c r="E47">
        <f>"var GM_full_in = "&amp;""&amp;IF(ISBLANK(INDEX('Tank Data'!$K:$K,MATCH(IF(ISBLANK(INDEX('Local Parameter'!K:K,MATCH("tank_ref",'Local Parameter'!$A:$A,0))),"WBT6",IF(INDEX('Local Parameter'!K:K,MATCH("tank_ref",'Local Parameter'!$A:$A,0))="","WBT6",INDEX('Local Parameter'!K:K,MATCH("tank_ref",'Local Parameter'!$A:$A,0)))),'Tank Data'!$A:$A,0))),0,IF(INDEX('Tank Data'!$K:$K,MATCH(IF(ISBLANK(INDEX('Local Parameter'!K:K,MATCH("tank_ref",'Local Parameter'!$A:$A,0))),"WBT6",IF(INDEX('Local Parameter'!K:K,MATCH("tank_ref",'Local Parameter'!$A:$A,0))="","WBT6",INDEX('Local Parameter'!K:K,MATCH("tank_ref",'Local Parameter'!$A:$A,0)))),'Tank Data'!$A:$A,0))="",0,INDEX('Tank Data'!$K:$K,MATCH(IF(ISBLANK(INDEX('Local Parameter'!K:K,MATCH("tank_ref",'Local Parameter'!$A:$A,0))),"WBT6",IF(INDEX('Local Parameter'!K:K,MATCH("tank_ref",'Local Parameter'!$A:$A,0))="","WBT6",INDEX('Local Parameter'!K:K,MATCH("tank_ref",'Local Parameter'!$A:$A,0)))),'Tank Data'!$A:$A,0))))&amp;" m"&amp;";"</f>
        <v/>
      </c>
    </row>
    <row r="48">
      <c r="B48">
        <f>"var k_r_in = "&amp;""&amp;IF(ISBLANK(INDEX('Tank Data'!$L:$L,MATCH(IF(ISBLANK(INDEX('Local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Data'!$A:$A,0))),0,IF(INDEX('Tank Data'!$L:$L,MATCH(IF(ISBLANK(INDEX('Local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Data'!$A:$A,0))="",0,INDEX('Tank Data'!$L:$L,MATCH(IF(ISBLANK(INDEX('Local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Data'!$A:$A,0))))&amp;" m"&amp;";"</f>
        <v/>
      </c>
      <c r="C48">
        <f>"var k_r_in = "&amp;""&amp;IF(ISBLANK(INDEX('Tank Data'!$L:$L,MATCH(IF(ISBLANK(INDEX('Local Parameter'!I:I,MATCH("tank_ref",'Local Parameter'!$A:$A,0))),"WBT6",IF(INDEX('Local Parameter'!I:I,MATCH("tank_ref",'Local Parameter'!$A:$A,0))="","WBT6",INDEX('Local Parameter'!I:I,MATCH("tank_ref",'Local Parameter'!$A:$A,0)))),'Tank Data'!$A:$A,0))),0,IF(INDEX('Tank Data'!$L:$L,MATCH(IF(ISBLANK(INDEX('Local Parameter'!I:I,MATCH("tank_ref",'Local Parameter'!$A:$A,0))),"WBT6",IF(INDEX('Local Parameter'!I:I,MATCH("tank_ref",'Local Parameter'!$A:$A,0))="","WBT6",INDEX('Local Parameter'!I:I,MATCH("tank_ref",'Local Parameter'!$A:$A,0)))),'Tank Data'!$A:$A,0))="",0,INDEX('Tank Data'!$L:$L,MATCH(IF(ISBLANK(INDEX('Local Parameter'!I:I,MATCH("tank_ref",'Local Parameter'!$A:$A,0))),"WBT6",IF(INDEX('Local Parameter'!I:I,MATCH("tank_ref",'Local Parameter'!$A:$A,0))="","WBT6",INDEX('Local Parameter'!I:I,MATCH("tank_ref",'Local Parameter'!$A:$A,0)))),'Tank Data'!$A:$A,0))))&amp;" m"&amp;";"</f>
        <v/>
      </c>
      <c r="D48">
        <f>"var k_r_in = "&amp;""&amp;IF(ISBLANK(INDEX('Tank Data'!$L:$L,MATCH(IF(ISBLANK(INDEX('Local Parameter'!J:J,MATCH("tank_ref",'Local Parameter'!$A:$A,0))),"WBT6",IF(INDEX('Local Parameter'!J:J,MATCH("tank_ref",'Local Parameter'!$A:$A,0))="","WBT6",INDEX('Local Parameter'!J:J,MATCH("tank_ref",'Local Parameter'!$A:$A,0)))),'Tank Data'!$A:$A,0))),0,IF(INDEX('Tank Data'!$L:$L,MATCH(IF(ISBLANK(INDEX('Local Parameter'!J:J,MATCH("tank_ref",'Local Parameter'!$A:$A,0))),"WBT6",IF(INDEX('Local Parameter'!J:J,MATCH("tank_ref",'Local Parameter'!$A:$A,0))="","WBT6",INDEX('Local Parameter'!J:J,MATCH("tank_ref",'Local Parameter'!$A:$A,0)))),'Tank Data'!$A:$A,0))="",0,INDEX('Tank Data'!$L:$L,MATCH(IF(ISBLANK(INDEX('Local Parameter'!J:J,MATCH("tank_ref",'Local Parameter'!$A:$A,0))),"WBT6",IF(INDEX('Local Parameter'!J:J,MATCH("tank_ref",'Local Parameter'!$A:$A,0))="","WBT6",INDEX('Local Parameter'!J:J,MATCH("tank_ref",'Local Parameter'!$A:$A,0)))),'Tank Data'!$A:$A,0))))&amp;" m"&amp;";"</f>
        <v/>
      </c>
      <c r="E48">
        <f>"var k_r_in = "&amp;""&amp;IF(ISBLANK(INDEX('Tank Data'!$L:$L,MATCH(IF(ISBLANK(INDEX('Local Parameter'!K:K,MATCH("tank_ref",'Local Parameter'!$A:$A,0))),"WBT6",IF(INDEX('Local Parameter'!K:K,MATCH("tank_ref",'Local Parameter'!$A:$A,0))="","WBT6",INDEX('Local Parameter'!K:K,MATCH("tank_ref",'Local Parameter'!$A:$A,0)))),'Tank Data'!$A:$A,0))),0,IF(INDEX('Tank Data'!$L:$L,MATCH(IF(ISBLANK(INDEX('Local Parameter'!K:K,MATCH("tank_ref",'Local Parameter'!$A:$A,0))),"WBT6",IF(INDEX('Local Parameter'!K:K,MATCH("tank_ref",'Local Parameter'!$A:$A,0))="","WBT6",INDEX('Local Parameter'!K:K,MATCH("tank_ref",'Local Parameter'!$A:$A,0)))),'Tank Data'!$A:$A,0))="",0,INDEX('Tank Data'!$L:$L,MATCH(IF(ISBLANK(INDEX('Local Parameter'!K:K,MATCH("tank_ref",'Local Parameter'!$A:$A,0))),"WBT6",IF(INDEX('Local Parameter'!K:K,MATCH("tank_ref",'Local Parameter'!$A:$A,0))="","WBT6",INDEX('Local Parameter'!K:K,MATCH("tank_ref",'Local Parameter'!$A:$A,0)))),'Tank Data'!$A:$A,0))))&amp;" m"&amp;";"</f>
        <v/>
      </c>
    </row>
    <row r="49">
      <c r="B49">
        <f>"var tank_is_ballast = "&amp;""&amp;IF(ISBLANK(INDEX('Tank Data'!$M:$M,MATCH(IF(ISBLANK(INDEX('Local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Data'!$A:$A,0))),1,IF(INDEX('Tank Data'!$M:$M,MATCH(IF(ISBLANK(INDEX('Local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Data'!$A:$A,0))="",1,INDEX('Tank Data'!$M:$M,MATCH(IF(ISBLANK(INDEX('Local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Data'!$A:$A,0))))&amp;""&amp;";"</f>
        <v/>
      </c>
      <c r="C49">
        <f>"var tank_is_ballast = "&amp;""&amp;IF(ISBLANK(INDEX('Tank Data'!$M:$M,MATCH(IF(ISBLANK(INDEX('Local Parameter'!I:I,MATCH("tank_ref",'Local Parameter'!$A:$A,0))),"WBT6",IF(INDEX('Local Parameter'!I:I,MATCH("tank_ref",'Local Parameter'!$A:$A,0))="","WBT6",INDEX('Local Parameter'!I:I,MATCH("tank_ref",'Local Parameter'!$A:$A,0)))),'Tank Data'!$A:$A,0))),1,IF(INDEX('Tank Data'!$M:$M,MATCH(IF(ISBLANK(INDEX('Local Parameter'!I:I,MATCH("tank_ref",'Local Parameter'!$A:$A,0))),"WBT6",IF(INDEX('Local Parameter'!I:I,MATCH("tank_ref",'Local Parameter'!$A:$A,0))="","WBT6",INDEX('Local Parameter'!I:I,MATCH("tank_ref",'Local Parameter'!$A:$A,0)))),'Tank Data'!$A:$A,0))="",1,INDEX('Tank Data'!$M:$M,MATCH(IF(ISBLANK(INDEX('Local Parameter'!I:I,MATCH("tank_ref",'Local Parameter'!$A:$A,0))),"WBT6",IF(INDEX('Local Parameter'!I:I,MATCH("tank_ref",'Local Parameter'!$A:$A,0))="","WBT6",INDEX('Local Parameter'!I:I,MATCH("tank_ref",'Local Parameter'!$A:$A,0)))),'Tank Data'!$A:$A,0))))&amp;""&amp;";"</f>
        <v/>
      </c>
      <c r="D49">
        <f>"var tank_is_ballast = "&amp;""&amp;IF(ISBLANK(INDEX('Tank Data'!$M:$M,MATCH(IF(ISBLANK(INDEX('Local Parameter'!J:J,MATCH("tank_ref",'Local Parameter'!$A:$A,0))),"WBT6",IF(INDEX('Local Parameter'!J:J,MATCH("tank_ref",'Local Parameter'!$A:$A,0))="","WBT6",INDEX('Local Parameter'!J:J,MATCH("tank_ref",'Local Parameter'!$A:$A,0)))),'Tank Data'!$A:$A,0))),1,IF(INDEX('Tank Data'!$M:$M,MATCH(IF(ISBLANK(INDEX('Local Parameter'!J:J,MATCH("tank_ref",'Local Parameter'!$A:$A,0))),"WBT6",IF(INDEX('Local Parameter'!J:J,MATCH("tank_ref",'Local Parameter'!$A:$A,0))="","WBT6",INDEX('Local Parameter'!J:J,MATCH("tank_ref",'Local Parameter'!$A:$A,0)))),'Tank Data'!$A:$A,0))="",1,INDEX('Tank Data'!$M:$M,MATCH(IF(ISBLANK(INDEX('Local Parameter'!J:J,MATCH("tank_ref",'Local Parameter'!$A:$A,0))),"WBT6",IF(INDEX('Local Parameter'!J:J,MATCH("tank_ref",'Local Parameter'!$A:$A,0))="","WBT6",INDEX('Local Parameter'!J:J,MATCH("tank_ref",'Local Parameter'!$A:$A,0)))),'Tank Data'!$A:$A,0))))&amp;""&amp;";"</f>
        <v/>
      </c>
      <c r="E49">
        <f>"var tank_is_ballast = "&amp;""&amp;IF(ISBLANK(INDEX('Tank Data'!$M:$M,MATCH(IF(ISBLANK(INDEX('Local Parameter'!K:K,MATCH("tank_ref",'Local Parameter'!$A:$A,0))),"WBT6",IF(INDEX('Local Parameter'!K:K,MATCH("tank_ref",'Local Parameter'!$A:$A,0))="","WBT6",INDEX('Local Parameter'!K:K,MATCH("tank_ref",'Local Parameter'!$A:$A,0)))),'Tank Data'!$A:$A,0))),1,IF(INDEX('Tank Data'!$M:$M,MATCH(IF(ISBLANK(INDEX('Local Parameter'!K:K,MATCH("tank_ref",'Local Parameter'!$A:$A,0))),"WBT6",IF(INDEX('Local Parameter'!K:K,MATCH("tank_ref",'Local Parameter'!$A:$A,0))="","WBT6",INDEX('Local Parameter'!K:K,MATCH("tank_ref",'Local Parameter'!$A:$A,0)))),'Tank Data'!$A:$A,0))="",1,INDEX('Tank Data'!$M:$M,MATCH(IF(ISBLANK(INDEX('Local Parameter'!K:K,MATCH("tank_ref",'Local Parameter'!$A:$A,0))),"WBT6",IF(INDEX('Local Parameter'!K:K,MATCH("tank_ref",'Local Parameter'!$A:$A,0))="","WBT6",INDEX('Local Parameter'!K:K,MATCH("tank_ref",'Local Parameter'!$A:$A,0)))),'Tank Data'!$A:$A,0))))&amp;""&amp;";"</f>
        <v/>
      </c>
    </row>
    <row r="50">
      <c r="B50">
        <f>"var member_11_17 = "&amp;""&amp;IF(ISBLANK(INDEX('Tank Data'!$N:$N,MATCH(IF(ISBLANK(INDEX('Local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Data'!$A:$A,0))),0,IF(INDEX('Tank Data'!$N:$N,MATCH(IF(ISBLANK(INDEX('Local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Data'!$A:$A,0))="",0,INDEX('Tank Data'!$N:$N,MATCH(IF(ISBLANK(INDEX('Local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Data'!$A:$A,0))))&amp;""&amp;";"</f>
        <v/>
      </c>
      <c r="C50">
        <f>"var member_11_17 = "&amp;""&amp;IF(ISBLANK(INDEX('Tank Data'!$N:$N,MATCH(IF(ISBLANK(INDEX('Local Parameter'!I:I,MATCH("tank_ref",'Local Parameter'!$A:$A,0))),"WBT6",IF(INDEX('Local Parameter'!I:I,MATCH("tank_ref",'Local Parameter'!$A:$A,0))="","WBT6",INDEX('Local Parameter'!I:I,MATCH("tank_ref",'Local Parameter'!$A:$A,0)))),'Tank Data'!$A:$A,0))),0,IF(INDEX('Tank Data'!$N:$N,MATCH(IF(ISBLANK(INDEX('Local Parameter'!I:I,MATCH("tank_ref",'Local Parameter'!$A:$A,0))),"WBT6",IF(INDEX('Local Parameter'!I:I,MATCH("tank_ref",'Local Parameter'!$A:$A,0))="","WBT6",INDEX('Local Parameter'!I:I,MATCH("tank_ref",'Local Parameter'!$A:$A,0)))),'Tank Data'!$A:$A,0))="",0,INDEX('Tank Data'!$N:$N,MATCH(IF(ISBLANK(INDEX('Local Parameter'!I:I,MATCH("tank_ref",'Local Parameter'!$A:$A,0))),"WBT6",IF(INDEX('Local Parameter'!I:I,MATCH("tank_ref",'Local Parameter'!$A:$A,0))="","WBT6",INDEX('Local Parameter'!I:I,MATCH("tank_ref",'Local Parameter'!$A:$A,0)))),'Tank Data'!$A:$A,0))))&amp;""&amp;";"</f>
        <v/>
      </c>
      <c r="D50">
        <f>"var member_11_17 = "&amp;""&amp;IF(ISBLANK(INDEX('Tank Data'!$N:$N,MATCH(IF(ISBLANK(INDEX('Local Parameter'!J:J,MATCH("tank_ref",'Local Parameter'!$A:$A,0))),"WBT6",IF(INDEX('Local Parameter'!J:J,MATCH("tank_ref",'Local Parameter'!$A:$A,0))="","WBT6",INDEX('Local Parameter'!J:J,MATCH("tank_ref",'Local Parameter'!$A:$A,0)))),'Tank Data'!$A:$A,0))),0,IF(INDEX('Tank Data'!$N:$N,MATCH(IF(ISBLANK(INDEX('Local Parameter'!J:J,MATCH("tank_ref",'Local Parameter'!$A:$A,0))),"WBT6",IF(INDEX('Local Parameter'!J:J,MATCH("tank_ref",'Local Parameter'!$A:$A,0))="","WBT6",INDEX('Local Parameter'!J:J,MATCH("tank_ref",'Local Parameter'!$A:$A,0)))),'Tank Data'!$A:$A,0))="",0,INDEX('Tank Data'!$N:$N,MATCH(IF(ISBLANK(INDEX('Local Parameter'!J:J,MATCH("tank_ref",'Local Parameter'!$A:$A,0))),"WBT6",IF(INDEX('Local Parameter'!J:J,MATCH("tank_ref",'Local Parameter'!$A:$A,0))="","WBT6",INDEX('Local Parameter'!J:J,MATCH("tank_ref",'Local Parameter'!$A:$A,0)))),'Tank Data'!$A:$A,0))))&amp;""&amp;";"</f>
        <v/>
      </c>
      <c r="E50">
        <f>"var member_11_17 = "&amp;""&amp;IF(ISBLANK(INDEX('Tank Data'!$N:$N,MATCH(IF(ISBLANK(INDEX('Local Parameter'!K:K,MATCH("tank_ref",'Local Parameter'!$A:$A,0))),"WBT6",IF(INDEX('Local Parameter'!K:K,MATCH("tank_ref",'Local Parameter'!$A:$A,0))="","WBT6",INDEX('Local Parameter'!K:K,MATCH("tank_ref",'Local Parameter'!$A:$A,0)))),'Tank Data'!$A:$A,0))),0,IF(INDEX('Tank Data'!$N:$N,MATCH(IF(ISBLANK(INDEX('Local Parameter'!K:K,MATCH("tank_ref",'Local Parameter'!$A:$A,0))),"WBT6",IF(INDEX('Local Parameter'!K:K,MATCH("tank_ref",'Local Parameter'!$A:$A,0))="","WBT6",INDEX('Local Parameter'!K:K,MATCH("tank_ref",'Local Parameter'!$A:$A,0)))),'Tank Data'!$A:$A,0))="",0,INDEX('Tank Data'!$N:$N,MATCH(IF(ISBLANK(INDEX('Local Parameter'!K:K,MATCH("tank_ref",'Local Parameter'!$A:$A,0))),"WBT6",IF(INDEX('Local Parameter'!K:K,MATCH("tank_ref",'Local Parameter'!$A:$A,0))="","WBT6",INDEX('Local Parameter'!K:K,MATCH("tank_ref",'Local Parameter'!$A:$A,0)))),'Tank Data'!$A:$A,0))))&amp;""&amp;";"</f>
        <v/>
      </c>
    </row>
    <row r="51">
      <c r="B51">
        <f>"// --- the calculation"</f>
        <v/>
      </c>
      <c r="C51">
        <f>"// --- the calculation"</f>
        <v/>
      </c>
      <c r="D51">
        <f>"// --- the calculation"</f>
        <v/>
      </c>
      <c r="E51">
        <f>"// --- the calculation"</f>
        <v/>
      </c>
    </row>
    <row r="52">
      <c r="B52">
        <f>"var C_theta = 1;   // C_theta, the roll angle factor of 5.7.2(b)"</f>
        <v/>
      </c>
      <c r="C52">
        <f>"var C_theta = 1;   // C_theta, the roll angle factor of 5.7.2(b)"</f>
        <v/>
      </c>
      <c r="D52">
        <f>"var C_theta = 1;   // C_theta, the roll angle factor of 5.7.2(b)"</f>
        <v/>
      </c>
      <c r="E52">
        <f>"var C_theta = 1;   // C_theta, the roll angle factor of 5.7.2(b)"</f>
        <v/>
      </c>
    </row>
    <row r="53">
      <c r="B53">
        <f>"var C_phi = -0.45;   // C_phi, the pitch angle factor of 5.7.2(b)"</f>
        <v/>
      </c>
      <c r="C53">
        <f>"var C_phi = -0.45;   // C_phi, the pitch angle factor of 5.7.2(b)"</f>
        <v/>
      </c>
      <c r="D53">
        <f>"var C_phi = -0.45;   // C_phi, the pitch angle factor of 5.7.2(b)"</f>
        <v/>
      </c>
      <c r="E53">
        <f>"var C_phi = -0.45;   // C_phi, the pitch angle factor of 5.7.2(b)"</f>
        <v/>
      </c>
    </row>
    <row r="54">
      <c r="B54">
        <f>"var k_theta = 0.005;   // k_theta of the theta expression (5.7.1(b))"</f>
        <v/>
      </c>
      <c r="C54">
        <f>"var k_theta = 0.005;   // k_theta of the theta expression (5.7.1(b))"</f>
        <v/>
      </c>
      <c r="D54">
        <f>"var k_theta = 0.005;   // k_theta of the theta expression (5.7.1(b))"</f>
        <v/>
      </c>
      <c r="E54">
        <f>"var k_theta = 0.005;   // k_theta of the theta expression (5.7.1(b))"</f>
        <v/>
      </c>
    </row>
    <row r="55">
      <c r="B55">
        <f>"var C_R = 1.05;   // C_R of the theta expression (5.7.1(b))"</f>
        <v/>
      </c>
      <c r="C55">
        <f>"var C_R = 1.05;   // C_R of the theta expression (5.7.1(b))"</f>
        <v/>
      </c>
      <c r="D55">
        <f>"var C_R = 1.05;   // C_R of the theta expression (5.7.1(b))"</f>
        <v/>
      </c>
      <c r="E55">
        <f>"var C_R = 1.05;   // C_R of the theta expression (5.7.1(b))"</f>
        <v/>
      </c>
    </row>
    <row r="56">
      <c r="B56">
        <f>"var k_o = 1.34 - 0.47 * Cb;   // k_o (5.7.1(c))"</f>
        <v/>
      </c>
      <c r="C56">
        <f>"var k_o = 1.34 - 0.47 * Cb;   // k_o (5.7.1(c))"</f>
        <v/>
      </c>
      <c r="D56">
        <f>"var k_o = 1.34 - 0.47 * Cb;   // k_o (5.7.1(c))"</f>
        <v/>
      </c>
      <c r="E56">
        <f>"var k_o = 1.34 - 0.47 * Cb;   // k_o (5.7.1(c))"</f>
        <v/>
      </c>
    </row>
    <row r="57">
      <c r="B57">
        <f>"var a_o = (k_o * (2.4 / Math.pow(L / 1 m, 0.5) + 34 / (L / 1 m) - 600 / Math.pow(L / 1 m, 2))) * 1 m;   // a_o, the vertical acceleration parameter"</f>
        <v/>
      </c>
      <c r="C57">
        <f>"var a_o = (k_o * (2.4 / Math.pow(L / 1 m, 0.5) + 34 / (L / 1 m) - 600 / Math.pow(L / 1 m, 2))) * 1 m;   // a_o, the vertical acceleration parameter"</f>
        <v/>
      </c>
      <c r="D57">
        <f>"var a_o = (k_o * (2.4 / Math.pow(L / 1 m, 0.5) + 34 / (L / 1 m) - 600 / Math.pow(L / 1 m, 2))) * 1 m;   // a_o, the vertical acceleration parameter"</f>
        <v/>
      </c>
      <c r="E57">
        <f>"var a_o = (k_o * (2.4 / Math.pow(L / 1 m, 0.5) + 34 / (L / 1 m) - 600 / Math.pow(L / 1 m, 2))) * 1 m;   // a_o, the vertical acceleration parameter"</f>
        <v/>
      </c>
    </row>
    <row r="58">
      <c r="B58">
        <f>"var D_1 = (10 / Cb);   // the (10 / C_b) term of phi"</f>
        <v/>
      </c>
      <c r="C58">
        <f>"var D_1 = (10 / Cb);   // the (10 / C_b) term of phi"</f>
        <v/>
      </c>
      <c r="D58">
        <f>"var D_1 = (10 / Cb);   // the (10 / C_b) term of phi"</f>
        <v/>
      </c>
      <c r="E58">
        <f>"var D_1 = (10 / Cb);   // the (10 / C_b) term of phi"</f>
        <v/>
      </c>
    </row>
    <row r="59">
      <c r="B59">
        <f>"var phi = beta_PMO * k_esf * 1030 * Math.pow(D_1, 0.25) / (L / 1 m) * 1 deg;   // phi, the pitch amplitude"</f>
        <v/>
      </c>
      <c r="C59">
        <f>"var phi = beta_PMO * k_esf * 1030 * Math.pow(D_1, 0.25) / (L / 1 m) * 1 deg;   // phi, the pitch amplitude"</f>
        <v/>
      </c>
      <c r="D59">
        <f>"var phi = beta_PMO * k_esf * 1030 * Math.pow(D_1, 0.25) / (L / 1 m) * 1 deg;   // phi, the pitch amplitude"</f>
        <v/>
      </c>
      <c r="E59">
        <f>"var phi = beta_PMO * k_esf * 1030 * Math.pow(D_1, 0.25) / (L / 1 m) * 1 deg;   // phi, the pitch amplitude"</f>
        <v/>
      </c>
    </row>
    <row r="60">
      <c r="B60">
        <f>"if (phi &gt; 10 deg) phi = 10 deg;"</f>
        <v/>
      </c>
      <c r="C60">
        <f>"if (phi &gt; 10 deg) phi = 10 deg;"</f>
        <v/>
      </c>
      <c r="D60">
        <f>"if (phi &gt; 10 deg) phi = 10 deg;"</f>
        <v/>
      </c>
      <c r="E60">
        <f>"if (phi &gt; 10 deg) phi = 10 deg;"</f>
        <v/>
      </c>
    </row>
    <row r="61">
      <c r="B61">
        <f>"else              phi = phi;"</f>
        <v/>
      </c>
      <c r="C61">
        <f>"else              phi = phi;"</f>
        <v/>
      </c>
      <c r="D61">
        <f>"else              phi = phi;"</f>
        <v/>
      </c>
      <c r="E61">
        <f>"else              phi = phi;"</f>
        <v/>
      </c>
    </row>
    <row r="62">
      <c r="B62">
        <f>"var GM_full = GM_full_in &gt; 0 m ? GM_full_in : 0.12 * B;   // 5.7.1(b): 0.12 B when GM(full) is not available"</f>
        <v/>
      </c>
      <c r="C62">
        <f>"var GM_full = GM_full_in &gt; 0 m ? GM_full_in : 0.12 * B;   // 5.7.1(b): 0.12 B when GM(full) is not available"</f>
        <v/>
      </c>
      <c r="D62">
        <f>"var GM_full = GM_full_in &gt; 0 m ? GM_full_in : 0.12 * B;   // 5.7.1(b): 0.12 B when GM(full) is not available"</f>
        <v/>
      </c>
      <c r="E62">
        <f>"var GM_full = GM_full_in &gt; 0 m ? GM_full_in : 0.12 * B;   // 5.7.1(b): 0.12 B when GM(full) is not available"</f>
        <v/>
      </c>
    </row>
    <row r="63">
      <c r="B63">
        <f>"var k_r = k_r_in &gt; 0 m ? k_r_in : (draft &lt;= d_f ? 0.35 * B : 0.45 * B);   // roll radius of gyration"</f>
        <v/>
      </c>
      <c r="C63">
        <f>"var k_r = k_r_in &gt; 0 m ? k_r_in : (draft &lt;= d_f ? 0.35 * B : 0.45 * B);   // roll radius of gyration"</f>
        <v/>
      </c>
      <c r="D63">
        <f>"var k_r = k_r_in &gt; 0 m ? k_r_in : (draft &lt;= d_f ? 0.35 * B : 0.45 * B);   // roll radius of gyration"</f>
        <v/>
      </c>
      <c r="E63">
        <f>"var k_r = k_r_in &gt; 0 m ? k_r_in : (draft &lt;= d_f ? 0.35 * B : 0.45 * B);   // roll radius of gyration"</f>
        <v/>
      </c>
    </row>
    <row r="64">
      <c r="B64">
        <f>"var Delta = 10.05 kN/m^3 * L * B * d_f * Cb;   // displacement, k_d = 10.05 kN/m^3"</f>
        <v/>
      </c>
      <c r="C64">
        <f>"var Delta = 10.05 kN/m^3 * L * B * d_f * Cb;   // displacement, k_d = 10.05 kN/m^3"</f>
        <v/>
      </c>
      <c r="D64">
        <f>"var Delta = 10.05 kN/m^3 * L * B * d_f * Cb;   // displacement, k_d = 10.05 kN/m^3"</f>
        <v/>
      </c>
      <c r="E64">
        <f>"var Delta = 10.05 kN/m^3 * L * B * d_f * Cb;   // displacement, k_d = 10.05 kN/m^3"</f>
        <v/>
      </c>
    </row>
    <row r="65">
      <c r="B65">
        <f>"var C_di = 1.06 * (draft / d_f) - 0.06;   // C_di = 1.06 (d_i/d_f) - 0.06"</f>
        <v/>
      </c>
      <c r="C65">
        <f>"var C_di = 1.06 * (draft / d_f) - 0.06;   // C_di = 1.06 (d_i/d_f) - 0.06"</f>
        <v/>
      </c>
      <c r="D65">
        <f>"var C_di = 1.06 * (draft / d_f) - 0.06;   // C_di = 1.06 (d_i/d_f) - 0.06"</f>
        <v/>
      </c>
      <c r="E65">
        <f>"var C_di = 1.06 * (draft / d_f) - 0.06;   // C_di = 1.06 (d_i/d_f) - 0.06"</f>
        <v/>
      </c>
    </row>
    <row r="66">
      <c r="B66">
        <f>"var GM = GM_full;   // GM at the draft evaluated, filled in below"</f>
        <v/>
      </c>
      <c r="C66">
        <f>"var GM = GM_full;   // GM at the draft evaluated, filled in below"</f>
        <v/>
      </c>
      <c r="D66">
        <f>"var GM = GM_full;   // GM at the draft evaluated, filled in below"</f>
        <v/>
      </c>
      <c r="E66">
        <f>"var GM = GM_full;   // GM at the draft evaluated, filled in below"</f>
        <v/>
      </c>
    </row>
    <row r="67">
      <c r="B67">
        <f>"if      (draft / d_f &gt;= 1)   GM = GM_full;"</f>
        <v/>
      </c>
      <c r="C67">
        <f>"if      (draft / d_f &gt;= 1)   GM = GM_full;"</f>
        <v/>
      </c>
      <c r="D67">
        <f>"if      (draft / d_f &gt;= 1)   GM = GM_full;"</f>
        <v/>
      </c>
      <c r="E67">
        <f>"if      (draft / d_f &gt;= 1)   GM = GM_full;"</f>
        <v/>
      </c>
    </row>
    <row r="68">
      <c r="B68">
        <f>"else if (draft / d_f &gt;= 0.9) GM = 1.1 * GM_full;"</f>
        <v/>
      </c>
      <c r="C68">
        <f>"else if (draft / d_f &gt;= 0.9) GM = 1.1 * GM_full;"</f>
        <v/>
      </c>
      <c r="D68">
        <f>"else if (draft / d_f &gt;= 0.9) GM = 1.1 * GM_full;"</f>
        <v/>
      </c>
      <c r="E68">
        <f>"else if (draft / d_f &gt;= 0.9) GM = 1.1 * GM_full;"</f>
        <v/>
      </c>
    </row>
    <row r="69">
      <c r="B69">
        <f>"else if (draft / d_f &gt;= 2/3) GM = 1.5 * GM_full;"</f>
        <v/>
      </c>
      <c r="C69">
        <f>"else if (draft / d_f &gt;= 2/3) GM = 1.5 * GM_full;"</f>
        <v/>
      </c>
      <c r="D69">
        <f>"else if (draft / d_f &gt;= 2/3) GM = 1.5 * GM_full;"</f>
        <v/>
      </c>
      <c r="E69">
        <f>"else if (draft / d_f &gt;= 2/3) GM = 1.5 * GM_full;"</f>
        <v/>
      </c>
    </row>
    <row r="70">
      <c r="B70">
        <f>"else if (draft / d_f &gt;= 0.5) GM = 2.0 * GM_full;"</f>
        <v/>
      </c>
      <c r="C70">
        <f>"else if (draft / d_f &gt;= 0.5) GM = 2.0 * GM_full;"</f>
        <v/>
      </c>
      <c r="D70">
        <f>"else if (draft / d_f &gt;= 0.5) GM = 2.0 * GM_full;"</f>
        <v/>
      </c>
      <c r="E70">
        <f>"else if (draft / d_f &gt;= 0.5) GM = 2.0 * GM_full;"</f>
        <v/>
      </c>
    </row>
    <row r="71">
      <c r="B71">
        <f>"else                         GM = GM_full;"</f>
        <v/>
      </c>
      <c r="C71">
        <f>"else                         GM = GM_full;"</f>
        <v/>
      </c>
      <c r="D71">
        <f>"else                         GM = GM_full;"</f>
        <v/>
      </c>
      <c r="E71">
        <f>"else                         GM = GM_full;"</f>
        <v/>
      </c>
    </row>
    <row r="72">
      <c r="B72">
        <f>"var T_r = 2 * k_r * Math.pow(GM / 1 m, -0.5) / 1 m * 1 s;   // T_r, the roll natural period, in seconds"</f>
        <v/>
      </c>
      <c r="C72">
        <f>"var T_r = 2 * k_r * Math.pow(GM / 1 m, -0.5) / 1 m * 1 s;   // T_r, the roll natural period, in seconds"</f>
        <v/>
      </c>
      <c r="D72">
        <f>"var T_r = 2 * k_r * Math.pow(GM / 1 m, -0.5) / 1 m * 1 s;   // T_r, the roll natural period, in seconds"</f>
        <v/>
      </c>
      <c r="E72">
        <f>"var T_r = 2 * k_r * Math.pow(GM / 1 m, -0.5) / 1 m * 1 s;   // T_r, the roll natural period, in seconds"</f>
        <v/>
      </c>
    </row>
    <row r="73">
      <c r="B73">
        <f>"var theta = C_R * beta_RMO * k_esf * (35 - k_theta * C_di * Delta / 1000 kN) * 1 deg;   // theta, the roll amplitude"</f>
        <v/>
      </c>
      <c r="C73">
        <f>"var theta = C_R * beta_RMO * k_esf * (35 - k_theta * C_di * Delta / 1000 kN) * 1 deg;   // theta, the roll amplitude"</f>
        <v/>
      </c>
      <c r="D73">
        <f>"var theta = C_R * beta_RMO * k_esf * (35 - k_theta * C_di * Delta / 1000 kN) * 1 deg;   // theta, the roll amplitude"</f>
        <v/>
      </c>
      <c r="E73">
        <f>"var theta = C_R * beta_RMO * k_esf * (35 - k_theta * C_di * Delta / 1000 kN) * 1 deg;   // theta, the roll amplitude"</f>
        <v/>
      </c>
    </row>
    <row r="74">
      <c r="B74">
        <f>"if      (T_r &gt; 20 s)              theta = theta;"</f>
        <v/>
      </c>
      <c r="C74">
        <f>"if      (T_r &gt; 20 s)              theta = theta;"</f>
        <v/>
      </c>
      <c r="D74">
        <f>"if      (T_r &gt; 20 s)              theta = theta;"</f>
        <v/>
      </c>
      <c r="E74">
        <f>"if      (T_r &gt; 20 s)              theta = theta;"</f>
        <v/>
      </c>
    </row>
    <row r="75">
      <c r="B75">
        <f>"else if (T_r &gt;= 12.5 s)           theta = theta * (1.5375 - 0.027 * T_r / 1 s);"</f>
        <v/>
      </c>
      <c r="C75">
        <f>"else if (T_r &gt;= 12.5 s)           theta = theta * (1.5375 - 0.027 * T_r / 1 s);"</f>
        <v/>
      </c>
      <c r="D75">
        <f>"else if (T_r &gt;= 12.5 s)           theta = theta * (1.5375 - 0.027 * T_r / 1 s);"</f>
        <v/>
      </c>
      <c r="E75">
        <f>"else if (T_r &gt;= 12.5 s)           theta = theta * (1.5375 - 0.027 * T_r / 1 s);"</f>
        <v/>
      </c>
    </row>
    <row r="76">
      <c r="B76">
        <f>"else                              theta = theta * (0.8625 + 0.027 * T_r / 1 s);"</f>
        <v/>
      </c>
      <c r="C76">
        <f>"else                              theta = theta * (0.8625 + 0.027 * T_r / 1 s);"</f>
        <v/>
      </c>
      <c r="D76">
        <f>"else                              theta = theta * (0.8625 + 0.027 * T_r / 1 s);"</f>
        <v/>
      </c>
      <c r="E76">
        <f>"else                              theta = theta * (0.8625 + 0.027 * T_r / 1 s);"</f>
        <v/>
      </c>
    </row>
    <row r="77">
      <c r="B77">
        <f>"if (theta &gt; 30 deg) theta = 30 deg;"</f>
        <v/>
      </c>
      <c r="C77">
        <f>"if (theta &gt; 30 deg) theta = 30 deg;"</f>
        <v/>
      </c>
      <c r="D77">
        <f>"if (theta &gt; 30 deg) theta = 30 deg;"</f>
        <v/>
      </c>
      <c r="E77">
        <f>"if (theta &gt; 30 deg) theta = 30 deg;"</f>
        <v/>
      </c>
    </row>
    <row r="78">
      <c r="B78">
        <f>"else                theta = theta;"</f>
        <v/>
      </c>
      <c r="C78">
        <f>"else                theta = theta;"</f>
        <v/>
      </c>
      <c r="D78">
        <f>"else                theta = theta;"</f>
        <v/>
      </c>
      <c r="E78">
        <f>"else                theta = theta;"</f>
        <v/>
      </c>
    </row>
    <row r="79">
      <c r="B79">
        <f>"var k_v = Math.pow(1 + 0.65 * Math.pow(5.3 - 45 / (L / 1 m), 2) * Math.pow(x / L - 0.45, 2), 0.5);   // k_v (5.7.1(c))"</f>
        <v/>
      </c>
      <c r="C79">
        <f>"var k_v = Math.pow(1 + 0.65 * Math.pow(5.3 - 45 / (L / 1 m), 2) * Math.pow(x / L - 0.45, 2), 0.5);   // k_v (5.7.1(c))"</f>
        <v/>
      </c>
      <c r="D79">
        <f>"var k_v = Math.pow(1 + 0.65 * Math.pow(5.3 - 45 / (L / 1 m), 2) * Math.pow(x / L - 0.45, 2), 0.5);   // k_v (5.7.1(c))"</f>
        <v/>
      </c>
      <c r="E79">
        <f>"var k_v = Math.pow(1 + 0.65 * Math.pow(5.3 - 45 / (L / 1 m), 2) * Math.pow(x / L - 0.45, 2), 0.5);   // k_v (5.7.1(c))"</f>
        <v/>
      </c>
    </row>
    <row r="80">
      <c r="B80">
        <f>"var C_v = Math.cos(mu_deg) + (1 + 2.4 * z / B) * Math.sin(mu_deg) / k_v;   // C_v (5.7.1(c))"</f>
        <v/>
      </c>
      <c r="C80">
        <f>"var C_v = Math.cos(mu_deg) + (1 + 2.4 * z / B) * Math.sin(mu_deg) / k_v;   // C_v (5.7.1(c))"</f>
        <v/>
      </c>
      <c r="D80">
        <f>"var C_v = Math.cos(mu_deg) + (1 + 2.4 * z / B) * Math.sin(mu_deg) / k_v;   // C_v (5.7.1(c))"</f>
        <v/>
      </c>
      <c r="E80">
        <f>"var C_v = Math.cos(mu_deg) + (1 + 2.4 * z / B) * Math.sin(mu_deg) / k_v;   // C_v (5.7.1(c))"</f>
        <v/>
      </c>
    </row>
    <row r="81">
      <c r="B81">
        <f>"var C_l = 0.35 - 0.0005 * (L / 1 m - 200);   // C_l (5.7.1(c))"</f>
        <v/>
      </c>
      <c r="C81">
        <f>"var C_l = 0.35 - 0.0005 * (L / 1 m - 200);   // C_l (5.7.1(c))"</f>
        <v/>
      </c>
      <c r="D81">
        <f>"var C_l = 0.35 - 0.0005 * (L / 1 m - 200);   // C_l (5.7.1(c))"</f>
        <v/>
      </c>
      <c r="E81">
        <f>"var C_l = 0.35 - 0.0005 * (L / 1 m - 200);   // C_l (5.7.1(c))"</f>
        <v/>
      </c>
    </row>
    <row r="82">
      <c r="B82">
        <f>"var k_l = 0.5 + 8 * y / L;   // k_l (5.7.1(c)), the VERTICAL distribution"</f>
        <v/>
      </c>
      <c r="C82">
        <f>"var k_l = 0.5 + 8 * y / L;   // k_l (5.7.1(c)), the VERTICAL distribution"</f>
        <v/>
      </c>
      <c r="D82">
        <f>"var k_l = 0.5 + 8 * y / L;   // k_l (5.7.1(c)), the VERTICAL distribution"</f>
        <v/>
      </c>
      <c r="E82">
        <f>"var k_l = 0.5 + 8 * y / L;   // k_l (5.7.1(c)), the VERTICAL distribution"</f>
        <v/>
      </c>
    </row>
    <row r="83">
      <c r="B83">
        <f>"var C_t = 1.27 * Math.pow(1 + 1.52 * Math.pow(x / L - 0.45, 2), 0.5);   // C_t (5.7.1(c))"</f>
        <v/>
      </c>
      <c r="C83">
        <f>"var C_t = 1.27 * Math.pow(1 + 1.52 * Math.pow(x / L - 0.45, 2), 0.5);   // C_t (5.7.1(c))"</f>
        <v/>
      </c>
      <c r="D83">
        <f>"var C_t = 1.27 * Math.pow(1 + 1.52 * Math.pow(x / L - 0.45, 2), 0.5);   // C_t (5.7.1(c))"</f>
        <v/>
      </c>
      <c r="E83">
        <f>"var C_t = 1.27 * Math.pow(1 + 1.52 * Math.pow(x / L - 0.45, 2), 0.5);   // C_t (5.7.1(c))"</f>
        <v/>
      </c>
    </row>
    <row r="84">
      <c r="B84">
        <f>"var k_t = 0.35 + y / B;   // k_t (5.7.1(c)), the VERTICAL distribution"</f>
        <v/>
      </c>
      <c r="C84">
        <f>"var k_t = 0.35 + y / B;   // k_t (5.7.1(c)), the VERTICAL distribution"</f>
        <v/>
      </c>
      <c r="D84">
        <f>"var k_t = 0.35 + y / B;   // k_t (5.7.1(c)), the VERTICAL distribution"</f>
        <v/>
      </c>
      <c r="E84">
        <f>"var k_t = 0.35 + y / B;   // k_t (5.7.1(c)), the VERTICAL distribution"</f>
        <v/>
      </c>
    </row>
    <row r="85">
      <c r="B85">
        <f>"var a_v = C_v * beta_VAC * k_esf * k_v * a_o / 1 m * g;   // a_v, positive downward"</f>
        <v/>
      </c>
      <c r="C85">
        <f>"var a_v = C_v * beta_VAC * k_esf * k_v * a_o / 1 m * g;   // a_v, positive downward"</f>
        <v/>
      </c>
      <c r="D85">
        <f>"var a_v = C_v * beta_VAC * k_esf * k_v * a_o / 1 m * g;   // a_v, positive downward"</f>
        <v/>
      </c>
      <c r="E85">
        <f>"var a_v = C_v * beta_VAC * k_esf * k_v * a_o / 1 m * g;   // a_v, positive downward"</f>
        <v/>
      </c>
    </row>
    <row r="86">
      <c r="B86">
        <f>"var a_l = C_l * beta_LAC * k_esf * k_l * a_o / 1 m * g;   // a_l, positive forward"</f>
        <v/>
      </c>
      <c r="C86">
        <f>"var a_l = C_l * beta_LAC * k_esf * k_l * a_o / 1 m * g;   // a_l, positive forward"</f>
        <v/>
      </c>
      <c r="D86">
        <f>"var a_l = C_l * beta_LAC * k_esf * k_l * a_o / 1 m * g;   // a_l, positive forward"</f>
        <v/>
      </c>
      <c r="E86">
        <f>"var a_l = C_l * beta_LAC * k_esf * k_l * a_o / 1 m * g;   // a_l, positive forward"</f>
        <v/>
      </c>
    </row>
    <row r="87">
      <c r="B87">
        <f>"var a_t = C_t * beta_TAC * k_esf * k_t * a_o / 1 m * g;   // a_t, positive starboard"</f>
        <v/>
      </c>
      <c r="C87">
        <f>"var a_t = C_t * beta_TAC * k_esf * k_t * a_o / 1 m * g;   // a_t, positive starboard"</f>
        <v/>
      </c>
      <c r="D87">
        <f>"var a_t = C_t * beta_TAC * k_esf * k_t * a_o / 1 m * g;   // a_t, positive starboard"</f>
        <v/>
      </c>
      <c r="E87">
        <f>"var a_t = C_t * beta_TAC * k_esf * k_t * a_o / 1 m * g;   // a_t, positive starboard"</f>
        <v/>
      </c>
    </row>
    <row r="88">
      <c r="B88">
        <f>"var rho_g = rho_tank * g;   // the liquid specific weight (5.7.2(a))"</f>
        <v/>
      </c>
      <c r="C88">
        <f>"var rho_g = rho_tank * g;   // the liquid specific weight (5.7.2(a))"</f>
        <v/>
      </c>
      <c r="D88">
        <f>"var rho_g = rho_tank * g;   // the liquid specific weight (5.7.2(a))"</f>
        <v/>
      </c>
      <c r="E88">
        <f>"var rho_g = rho_tank * g;   // the liquid specific weight (5.7.2(a))"</f>
        <v/>
      </c>
    </row>
    <row r="89">
      <c r="B89">
        <f>"var eta_overflow_add = Math.max(0.6666667 * eta_overflow, 760 mm);   // Fig. 12: 2/3 of the overflow distance, at least 760 mm"</f>
        <v/>
      </c>
      <c r="C89">
        <f>"var eta_overflow_add = Math.max(0.6666667 * eta_overflow, 760 mm);   // Fig. 12: 2/3 of the overflow distance, at least 760 mm"</f>
        <v/>
      </c>
      <c r="D89">
        <f>"var eta_overflow_add = Math.max(0.6666667 * eta_overflow, 760 mm);   // Fig. 12: 2/3 of the overflow distance, at least 760 mm"</f>
        <v/>
      </c>
      <c r="E89">
        <f>"var eta_overflow_add = Math.max(0.6666667 * eta_overflow, 760 mm);   // Fig. 12: 2/3 of the overflow distance, at least 760 mm"</f>
        <v/>
      </c>
    </row>
    <row r="90">
      <c r="B90">
        <f>"var eta = h_tank + eta_deck + (eta_overflow &gt; 0 m ? eta_overflow_add : 0 m) - z;   // eta, measured down from the tank top"</f>
        <v/>
      </c>
      <c r="C90">
        <f>"var eta = h_tank + eta_deck + (eta_overflow &gt; 0 m ? eta_overflow_add : 0 m) - z;   // eta, measured down from the tank top"</f>
        <v/>
      </c>
      <c r="D90">
        <f>"var eta = h_tank + eta_deck + (eta_overflow &gt; 0 m ? eta_overflow_add : 0 m) - z;   // eta, measured down from the tank top"</f>
        <v/>
      </c>
      <c r="E90">
        <f>"var eta = h_tank + eta_deck + (eta_overflow &gt; 0 m ? eta_overflow_add : 0 m) - z;   // eta, measured down from the tank top"</f>
        <v/>
      </c>
    </row>
    <row r="91">
      <c r="B91">
        <f>"var k_s = 1;   // k_s, filled in below"</f>
        <v/>
      </c>
      <c r="C91">
        <f>"var k_s = 1;   // k_s, filled in below"</f>
        <v/>
      </c>
      <c r="D91">
        <f>"var k_s = 1;   // k_s, filled in below"</f>
        <v/>
      </c>
      <c r="E91">
        <f>"var k_s = 1;   // k_s, filled in below"</f>
        <v/>
      </c>
    </row>
    <row r="92">
      <c r="B92">
        <f>"if (tank_is_ballast != 0 || member_11_17 == 0) {"</f>
        <v/>
      </c>
      <c r="C92">
        <f>"if (tank_is_ballast != 0 || member_11_17 == 0) {"</f>
        <v/>
      </c>
      <c r="D92">
        <f>"if (tank_is_ballast != 0 || member_11_17 == 0) {"</f>
        <v/>
      </c>
      <c r="E92">
        <f>"if (tank_is_ballast != 0 || member_11_17 == 0) {"</f>
        <v/>
      </c>
    </row>
    <row r="93">
      <c r="B93">
        <f>"    k_s = 1;"</f>
        <v/>
      </c>
      <c r="C93">
        <f>"    k_s = 1;"</f>
        <v/>
      </c>
      <c r="D93">
        <f>"    k_s = 1;"</f>
        <v/>
      </c>
      <c r="E93">
        <f>"    k_s = 1;"</f>
        <v/>
      </c>
    </row>
    <row r="94">
      <c r="B94">
        <f>"} else {"</f>
        <v/>
      </c>
      <c r="C94">
        <f>"} else {"</f>
        <v/>
      </c>
      <c r="D94">
        <f>"} else {"</f>
        <v/>
      </c>
      <c r="E94">
        <f>"} else {"</f>
        <v/>
      </c>
    </row>
    <row r="95">
      <c r="B95">
        <f>"    k_s = 0.878 + (rho_g - rho_g_lo) / (rho_g_hi - rho_g_lo) * 0.122;"</f>
        <v/>
      </c>
      <c r="C95">
        <f>"    k_s = 0.878 + (rho_g - rho_g_lo) / (rho_g_hi - rho_g_lo) * 0.122;"</f>
        <v/>
      </c>
      <c r="D95">
        <f>"    k_s = 0.878 + (rho_g - rho_g_lo) / (rho_g_hi - rho_g_lo) * 0.122;"</f>
        <v/>
      </c>
      <c r="E95">
        <f>"    k_s = 0.878 + (rho_g - rho_g_lo) / (rho_g_hi - rho_g_lo) * 0.122;"</f>
        <v/>
      </c>
    </row>
    <row r="96">
      <c r="B96">
        <f>"    if (k_s &lt; 0.878) k_s = 0.878;"</f>
        <v/>
      </c>
      <c r="C96">
        <f>"    if (k_s &lt; 0.878) k_s = 0.878;"</f>
        <v/>
      </c>
      <c r="D96">
        <f>"    if (k_s &lt; 0.878) k_s = 0.878;"</f>
        <v/>
      </c>
      <c r="E96">
        <f>"    if (k_s &lt; 0.878) k_s = 0.878;"</f>
        <v/>
      </c>
    </row>
    <row r="97">
      <c r="B97">
        <f>"    else             k_s = k_s;"</f>
        <v/>
      </c>
      <c r="C97">
        <f>"    else             k_s = k_s;"</f>
        <v/>
      </c>
      <c r="D97">
        <f>"    else             k_s = k_s;"</f>
        <v/>
      </c>
      <c r="E97">
        <f>"    else             k_s = k_s;"</f>
        <v/>
      </c>
    </row>
    <row r="98">
      <c r="B98">
        <f>"    if (k_s &gt; 1)     k_s = 1;"</f>
        <v/>
      </c>
      <c r="C98">
        <f>"    if (k_s &gt; 1)     k_s = 1;"</f>
        <v/>
      </c>
      <c r="D98">
        <f>"    if (k_s &gt; 1)     k_s = 1;"</f>
        <v/>
      </c>
      <c r="E98">
        <f>"    if (k_s &gt; 1)     k_s = 1;"</f>
        <v/>
      </c>
    </row>
    <row r="99">
      <c r="B99">
        <f>"    else             k_s = k_s;"</f>
        <v/>
      </c>
      <c r="C99">
        <f>"    else             k_s = k_s;"</f>
        <v/>
      </c>
      <c r="D99">
        <f>"    else             k_s = k_s;"</f>
        <v/>
      </c>
      <c r="E99">
        <f>"    else             k_s = k_s;"</f>
        <v/>
      </c>
    </row>
    <row r="100">
      <c r="B100">
        <f>"}"</f>
        <v/>
      </c>
      <c r="C100">
        <f>"}"</f>
        <v/>
      </c>
      <c r="D100">
        <f>"}"</f>
        <v/>
      </c>
      <c r="E100">
        <f>"}"</f>
        <v/>
      </c>
    </row>
    <row r="101">
      <c r="B101">
        <f>"var p_o = p_vp &gt; 0 N/cm^2 ? Math.max(p_vp - 2.06 N/cm^2, 0 N/cm^2) : 0 N/cm^2;   // p_o = (p_vp - p_n), p_n = 2.06 N/cm^2"</f>
        <v/>
      </c>
      <c r="C101">
        <f>"var p_o = p_vp &gt; 0 N/cm^2 ? Math.max(p_vp - 2.06 N/cm^2, 0 N/cm^2) : 0 N/cm^2;   // p_o = (p_vp - p_n), p_n = 2.06 N/cm^2"</f>
        <v/>
      </c>
      <c r="D101">
        <f>"var p_o = p_vp &gt; 0 N/cm^2 ? Math.max(p_vp - 2.06 N/cm^2, 0 N/cm^2) : 0 N/cm^2;   // p_o = (p_vp - p_n), p_n = 2.06 N/cm^2"</f>
        <v/>
      </c>
      <c r="E101">
        <f>"var p_o = p_vp &gt; 0 N/cm^2 ? Math.max(p_vp - 2.06 N/cm^2, 0 N/cm^2) : 0 N/cm^2;   // p_o = (p_vp - p_n), p_n = 2.06 N/cm^2"</f>
        <v/>
      </c>
    </row>
    <row r="102">
      <c r="B102">
        <f>"var a_i = 0.71 * C_dp * (w_v * a_v + w_l * (l_tank / h_tank) * a_l + w_t * (b_tank / h_tank) * a_t);   // a_i (5.7.2(a))"</f>
        <v/>
      </c>
      <c r="C102">
        <f>"var a_i = 0.71 * C_dp * (w_v * a_v + w_l * (l_tank / h_tank) * a_l + w_t * (b_tank / h_tank) * a_t);   // a_i (5.7.2(a))"</f>
        <v/>
      </c>
      <c r="D102">
        <f>"var a_i = 0.71 * C_dp * (w_v * a_v + w_l * (l_tank / h_tank) * a_l + w_t * (b_tank / h_tank) * a_t);   // a_i (5.7.2(a))"</f>
        <v/>
      </c>
      <c r="E102">
        <f>"var a_i = 0.71 * C_dp * (w_v * a_v + w_l * (l_tank / h_tank) * a_l + w_t * (b_tank / h_tank) * a_t);   // a_i (5.7.2(a))"</f>
        <v/>
      </c>
    </row>
    <row r="103">
      <c r="B103">
        <f>"var theta_e = 0.71 * C_theta * theta;   // theta_e (5.7.2(b))"</f>
        <v/>
      </c>
      <c r="C103">
        <f>"var theta_e = 0.71 * C_theta * theta;   // theta_e (5.7.2(b))"</f>
        <v/>
      </c>
      <c r="D103">
        <f>"var theta_e = 0.71 * C_theta * theta;   // theta_e (5.7.2(b))"</f>
        <v/>
      </c>
      <c r="E103">
        <f>"var theta_e = 0.71 * C_theta * theta;   // theta_e (5.7.2(b))"</f>
        <v/>
      </c>
    </row>
    <row r="104">
      <c r="B104">
        <f>"var phi_e = 0.71 * C_phi * phi;   // phi_e (5.7.2(b))"</f>
        <v/>
      </c>
      <c r="C104">
        <f>"var phi_e = 0.71 * C_phi * phi;   // phi_e (5.7.2(b))"</f>
        <v/>
      </c>
      <c r="D104">
        <f>"var phi_e = 0.71 * C_phi * phi;   // phi_e (5.7.2(b))"</f>
        <v/>
      </c>
      <c r="E104">
        <f>"var phi_e = 0.71 * C_phi * phi;   // phi_e (5.7.2(b))"</f>
        <v/>
      </c>
    </row>
    <row r="105">
      <c r="B105">
        <f>"var zeta = Math.abs(b_tank / 2 - z);   // zeta, from the tank centre line"</f>
        <v/>
      </c>
      <c r="C105">
        <f>"var zeta = Math.abs(b_tank / 2 - z);   // zeta, from the tank centre line"</f>
        <v/>
      </c>
      <c r="D105">
        <f>"var zeta = Math.abs(b_tank / 2 - z);   // zeta, from the tank centre line"</f>
        <v/>
      </c>
      <c r="E105">
        <f>"var zeta = Math.abs(b_tank / 2 - z);   // zeta, from the tank centre line"</f>
        <v/>
      </c>
    </row>
    <row r="106">
      <c r="B106">
        <f>"var zeta_e = zeta;   // zeta_e, filled in below"</f>
        <v/>
      </c>
      <c r="C106">
        <f>"var zeta_e = zeta;   // zeta_e, filled in below"</f>
        <v/>
      </c>
      <c r="D106">
        <f>"var zeta_e = zeta;   // zeta_e, filled in below"</f>
        <v/>
      </c>
      <c r="E106">
        <f>"var zeta_e = zeta;   // zeta_e, filled in below"</f>
        <v/>
      </c>
    </row>
    <row r="107">
      <c r="B107">
        <f>"var eta_e = eta;   // eta_e, filled in below"</f>
        <v/>
      </c>
      <c r="C107">
        <f>"var eta_e = eta;   // eta_e, filled in below"</f>
        <v/>
      </c>
      <c r="D107">
        <f>"var eta_e = eta;   // eta_e, filled in below"</f>
        <v/>
      </c>
      <c r="E107">
        <f>"var eta_e = eta;   // eta_e, filled in below"</f>
        <v/>
      </c>
    </row>
    <row r="108">
      <c r="B108">
        <f>"var dh_i = 0 m;   // delta h_i, filled in below"</f>
        <v/>
      </c>
      <c r="C108">
        <f>"var dh_i = 0 m;   // delta h_i, filled in below"</f>
        <v/>
      </c>
      <c r="D108">
        <f>"var dh_i = 0 m;   // delta h_i, filled in below"</f>
        <v/>
      </c>
      <c r="E108">
        <f>"var dh_i = 0 m;   // delta h_i, filled in below"</f>
        <v/>
      </c>
    </row>
    <row r="109">
      <c r="B109">
        <f>"if (phi_e &lt; 0 deg &amp;&amp; theta_e &gt; 0 deg) {"</f>
        <v/>
      </c>
      <c r="C109">
        <f>"if (phi_e &lt; 0 deg &amp;&amp; theta_e &gt; 0 deg) {"</f>
        <v/>
      </c>
      <c r="D109">
        <f>"if (phi_e &lt; 0 deg &amp;&amp; theta_e &gt; 0 deg) {"</f>
        <v/>
      </c>
      <c r="E109">
        <f>"if (phi_e &lt; 0 deg &amp;&amp; theta_e &gt; 0 deg) {"</f>
        <v/>
      </c>
    </row>
    <row r="110">
      <c r="B110">
        <f>"    // branch i of 5.7.2(b)"</f>
        <v/>
      </c>
      <c r="C110">
        <f>"    // branch i of 5.7.2(b)"</f>
        <v/>
      </c>
      <c r="D110">
        <f>"    // branch i of 5.7.2(b)"</f>
        <v/>
      </c>
      <c r="E110">
        <f>"    // branch i of 5.7.2(b)"</f>
        <v/>
      </c>
    </row>
    <row r="111">
      <c r="B111">
        <f>"    zeta_e = b_tank - zeta;"</f>
        <v/>
      </c>
      <c r="C111">
        <f>"    zeta_e = b_tank - zeta;"</f>
        <v/>
      </c>
      <c r="D111">
        <f>"    zeta_e = b_tank - zeta;"</f>
        <v/>
      </c>
      <c r="E111">
        <f>"    zeta_e = b_tank - zeta;"</f>
        <v/>
      </c>
    </row>
    <row r="112">
      <c r="B112">
        <f>"    eta_e = eta;"</f>
        <v/>
      </c>
      <c r="C112">
        <f>"    eta_e = eta;"</f>
        <v/>
      </c>
      <c r="D112">
        <f>"    eta_e = eta;"</f>
        <v/>
      </c>
      <c r="E112">
        <f>"    eta_e = eta;"</f>
        <v/>
      </c>
    </row>
    <row r="113">
      <c r="B113">
        <f>"    dh_i = xi * Math.sin(-phi_e) + C_ru * (zeta_e * Math.sin(theta_e) * Math.cos(phi_e)"</f>
        <v/>
      </c>
      <c r="C113">
        <f>"    dh_i = xi * Math.sin(-phi_e) + C_ru * (zeta_e * Math.sin(theta_e) * Math.cos(phi_e)"</f>
        <v/>
      </c>
      <c r="D113">
        <f>"    dh_i = xi * Math.sin(-phi_e) + C_ru * (zeta_e * Math.sin(theta_e) * Math.cos(phi_e)"</f>
        <v/>
      </c>
      <c r="E113">
        <f>"    dh_i = xi * Math.sin(-phi_e) + C_ru * (zeta_e * Math.sin(theta_e) * Math.cos(phi_e)"</f>
        <v/>
      </c>
    </row>
    <row r="114">
      <c r="B114">
        <f>"         + eta_e * Math.cos(theta_e) * Math.cos(phi_e) - eta);"</f>
        <v/>
      </c>
      <c r="C114">
        <f>"         + eta_e * Math.cos(theta_e) * Math.cos(phi_e) - eta);"</f>
        <v/>
      </c>
      <c r="D114">
        <f>"         + eta_e * Math.cos(theta_e) * Math.cos(phi_e) - eta);"</f>
        <v/>
      </c>
      <c r="E114">
        <f>"         + eta_e * Math.cos(theta_e) * Math.cos(phi_e) - eta);"</f>
        <v/>
      </c>
    </row>
    <row r="115">
      <c r="B115">
        <f>"} else {"</f>
        <v/>
      </c>
      <c r="C115">
        <f>"} else {"</f>
        <v/>
      </c>
      <c r="D115">
        <f>"} else {"</f>
        <v/>
      </c>
      <c r="E115">
        <f>"} else {"</f>
        <v/>
      </c>
    </row>
    <row r="116">
      <c r="B116">
        <f>"    // branch ii of 5.7.2(b)"</f>
        <v/>
      </c>
      <c r="C116">
        <f>"    // branch ii of 5.7.2(b)"</f>
        <v/>
      </c>
      <c r="D116">
        <f>"    // branch ii of 5.7.2(b)"</f>
        <v/>
      </c>
      <c r="E116">
        <f>"    // branch ii of 5.7.2(b)"</f>
        <v/>
      </c>
    </row>
    <row r="117">
      <c r="B117">
        <f>"    zeta_e = zeta - delta_b;"</f>
        <v/>
      </c>
      <c r="C117">
        <f>"    zeta_e = zeta - delta_b;"</f>
        <v/>
      </c>
      <c r="D117">
        <f>"    zeta_e = zeta - delta_b;"</f>
        <v/>
      </c>
      <c r="E117">
        <f>"    zeta_e = zeta - delta_b;"</f>
        <v/>
      </c>
    </row>
    <row r="118">
      <c r="B118">
        <f>"    eta_e = eta - delta_h;"</f>
        <v/>
      </c>
      <c r="C118">
        <f>"    eta_e = eta - delta_h;"</f>
        <v/>
      </c>
      <c r="D118">
        <f>"    eta_e = eta - delta_h;"</f>
        <v/>
      </c>
      <c r="E118">
        <f>"    eta_e = eta - delta_h;"</f>
        <v/>
      </c>
    </row>
    <row r="119">
      <c r="B119">
        <f>"    dh_i = (l_tank - xi) * Math.sin(-phi_e) + C_ru * (zeta_e * Math.sin(theta_e) * Math.cos(phi_e)"</f>
        <v/>
      </c>
      <c r="C119">
        <f>"    dh_i = (l_tank - xi) * Math.sin(-phi_e) + C_ru * (zeta_e * Math.sin(theta_e) * Math.cos(phi_e)"</f>
        <v/>
      </c>
      <c r="D119">
        <f>"    dh_i = (l_tank - xi) * Math.sin(-phi_e) + C_ru * (zeta_e * Math.sin(theta_e) * Math.cos(phi_e)"</f>
        <v/>
      </c>
      <c r="E119">
        <f>"    dh_i = (l_tank - xi) * Math.sin(-phi_e) + C_ru * (zeta_e * Math.sin(theta_e) * Math.cos(phi_e)"</f>
        <v/>
      </c>
    </row>
    <row r="120">
      <c r="B120">
        <f>"         + eta_e * Math.cos(theta_e) * Math.cos(phi_e) - eta);"</f>
        <v/>
      </c>
      <c r="C120">
        <f>"         + eta_e * Math.cos(theta_e) * Math.cos(phi_e) - eta);"</f>
        <v/>
      </c>
      <c r="D120">
        <f>"         + eta_e * Math.cos(theta_e) * Math.cos(phi_e) - eta);"</f>
        <v/>
      </c>
      <c r="E120">
        <f>"         + eta_e * Math.cos(theta_e) * Math.cos(phi_e) - eta);"</f>
        <v/>
      </c>
    </row>
    <row r="121">
      <c r="B121">
        <f>"}"</f>
        <v/>
      </c>
      <c r="C121">
        <f>"}"</f>
        <v/>
      </c>
      <c r="D121">
        <f>"}"</f>
        <v/>
      </c>
      <c r="E121">
        <f>"}"</f>
        <v/>
      </c>
    </row>
    <row r="122">
      <c r="B122">
        <f>"var h_d = k_c * (eta * a_i / g + dh_i);   // h_d = k_c (eta a_i / g + delta h_i) (5.7.2(a))"</f>
        <v/>
      </c>
      <c r="C122">
        <f>"var h_d = k_c * (eta * a_i / g + dh_i);   // h_d = k_c (eta a_i / g + delta h_i) (5.7.2(a))"</f>
        <v/>
      </c>
      <c r="D122">
        <f>"var h_d = k_c * (eta * a_i / g + dh_i);   // h_d = k_c (eta a_i / g + delta h_i) (5.7.2(a))"</f>
        <v/>
      </c>
      <c r="E122">
        <f>"var h_d = k_c * (eta * a_i / g + dh_i);   // h_d = k_c (eta a_i / g + delta h_i) (5.7.2(a))"</f>
        <v/>
      </c>
    </row>
    <row r="123">
      <c r="B123">
        <f>"var p_s = k_s * rho_g * eta;   // static pressure (5.7.2(a))"</f>
        <v/>
      </c>
      <c r="C123">
        <f>"var p_s = k_s * rho_g * eta;   // static pressure (5.7.2(a))"</f>
        <v/>
      </c>
      <c r="D123">
        <f>"var p_s = k_s * rho_g * eta;   // static pressure (5.7.2(a))"</f>
        <v/>
      </c>
      <c r="E123">
        <f>"var p_s = k_s * rho_g * eta;   // static pressure (5.7.2(a))"</f>
        <v/>
      </c>
    </row>
    <row r="124">
      <c r="B124">
        <f>"var p_d = k_s * rho_g * k_u * h_d;   // dynamic pressure (5.7.2(a))"</f>
        <v/>
      </c>
      <c r="C124">
        <f>"var p_d = k_s * rho_g * k_u * h_d;   // dynamic pressure (5.7.2(a))"</f>
        <v/>
      </c>
      <c r="D124">
        <f>"var p_d = k_s * rho_g * k_u * h_d;   // dynamic pressure (5.7.2(a))"</f>
        <v/>
      </c>
      <c r="E124">
        <f>"var p_d = k_s * rho_g * k_u * h_d;   // dynamic pressure (5.7.2(a))"</f>
        <v/>
      </c>
    </row>
    <row r="125">
      <c r="B125">
        <f>"return p_s + p_d + p_o;   // the pressure the function returns"</f>
        <v/>
      </c>
      <c r="C125">
        <f>"return p_s + p_d + p_o;   // the pressure the function returns"</f>
        <v/>
      </c>
      <c r="D125">
        <f>"return p_s + p_d + p_o;   // the pressure the function returns"</f>
        <v/>
      </c>
      <c r="E125">
        <f>"return p_s + p_d + p_o;   // the pressure the function returns"</f>
        <v/>
      </c>
    </row>
    <row r="126"/>
    <row r="12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AE7"/>
  <sheetViews>
    <sheetView workbookViewId="0">
      <selection activeCell="A1" sqref="A1"/>
    </sheetView>
  </sheetViews>
  <sheetFormatPr baseColWidth="8" defaultRowHeight="15"/>
  <cols>
    <col width="20" customWidth="1" min="2" max="2"/>
    <col width="24" customWidth="1" min="3" max="3"/>
    <col width="63" customWidth="1" min="4" max="4"/>
    <col width="160" customWidth="1" min="5" max="5"/>
    <col width="160" customWidth="1" min="6" max="6"/>
    <col width="160" customWidth="1" min="7" max="7"/>
    <col width="160" customWidth="1" min="8" max="8"/>
    <col width="160" customWidth="1" min="9" max="9"/>
    <col width="160" customWidth="1" min="10" max="10"/>
    <col width="160" customWidth="1" min="11" max="11"/>
    <col width="160" customWidth="1" min="12" max="12"/>
    <col width="160" customWidth="1" min="13" max="13"/>
    <col width="160" customWidth="1" min="14" max="14"/>
    <col width="160" customWidth="1" min="15" max="15"/>
    <col width="160" customWidth="1" min="16" max="16"/>
    <col width="160" customWidth="1" min="17" max="17"/>
    <col width="160" customWidth="1" min="18" max="18"/>
    <col width="160" customWidth="1" min="19" max="19"/>
    <col width="160" customWidth="1" min="20" max="20"/>
    <col width="160" customWidth="1" min="21" max="21"/>
    <col width="160" customWidth="1" min="22" max="22"/>
    <col width="160" customWidth="1" min="23" max="23"/>
    <col width="160" customWidth="1" min="24" max="24"/>
    <col width="160" customWidth="1" min="25" max="25"/>
    <col width="160" customWidth="1" min="26" max="26"/>
    <col width="160" customWidth="1" min="27" max="27"/>
    <col width="160" customWidth="1" min="28" max="28"/>
    <col width="160" customWidth="1" min="29" max="29"/>
    <col width="160" customWidth="1" min="30" max="30"/>
    <col width="160" customWidth="1" min="31" max="31"/>
  </cols>
  <sheetData>
    <row r="2">
      <c r="A2" s="19" t="inlineStr">
        <is>
          <t>WBT6-d8-mu90</t>
        </is>
      </c>
      <c r="B2">
        <f>"| 项目 | 值 | 出处 |"</f>
        <v/>
      </c>
      <c r="C2">
        <f>"| --- | --- | --- |"</f>
        <v/>
      </c>
      <c r="D2">
        <f>"| case_name | "&amp;'Local Parameter'!$H$1&amp;" | 工况名（Excel 表头） |"</f>
        <v/>
      </c>
      <c r="E2">
        <f>"| kind | "&amp;IF(ISBLANK(INDEX('Local Parameter'!$C:$C,MATCH("kind",'Local Parameter'!$A:$A,0))),"",INDEX('Local Parameter'!$C:$C,MATCH("kind",'Local Parameter'!$A:$A,0)))&amp;IF(ISBLANK(INDEX('Local Parameter'!$H:$H,MATCH("kind",'Local Parameter'!$A:$A,0))),"EXT",IF(INDEX('Local Parameter'!$H:$H,MATCH("kind",'Local Parameter'!$A:$A,0))="","EXT",INDEX('Local Parameter'!$H:$H,MATCH("kind",'Local Parameter'!$A:$A,0))))&amp;IF(ISBLANK(INDEX('Local Parameter'!$D:$D,MATCH("kind",'Local Parameter'!$A:$A,0))),"",INDEX('Local Parameter'!$D:$D,MATCH("kind",'Local Parameter'!$A:$A,0)))&amp;" | 规则集（多规则集共用一本工作簿时用 case_filter 分流） |"</f>
        <v/>
      </c>
      <c r="F2">
        <f>"| tank_ref | "&amp;IF(ISBLANK(INDEX('Local Parameter'!$C:$C,MATCH("tank_ref",'Local Parameter'!$A:$A,0))),"",INDEX('Local Parameter'!$C:$C,MATCH("tank_ref",'Local Parameter'!$A:$A,0)))&amp;IF(ISBLANK(INDEX('Local Parameter'!$H:$H,MATCH("tank_ref",'Local Parameter'!$A:$A,0))),"WBT6",IF(INDEX('Local Parameter'!$H:$H,MATCH("tank_ref",'Local Parameter'!$A:$A,0))="","WBT6",INDEX('Local Parameter'!$H:$H,MATCH("tank_ref",'Local Parameter'!$A:$A,0))))&amp;IF(ISBLANK(INDEX('Local Parameter'!$D:$D,MATCH("tank_ref",'Local Parameter'!$A:$A,0))),"",INDEX('Local Parameter'!$D:$D,MATCH("tank_ref",'Local Parameter'!$A:$A,0)))&amp;" | 指向成员表 `Tank Data` 的哪一行（指南 §18） |"</f>
        <v/>
      </c>
      <c r="G2">
        <f>"| draft | "&amp;IF(ISBLANK(INDEX('Local Parameter'!$C:$C,MATCH("draft",'Local Parameter'!$A:$A,0))),"",INDEX('Local Parameter'!$C:$C,MATCH("draft",'Local Parameter'!$A:$A,0)))&amp;IF(ISBLANK(INDEX('Local Parameter'!$H:$H,MATCH("draft",'Local Parameter'!$A:$A,0))),20.559,IF(INDEX('Local Parameter'!$H:$H,MATCH("draft",'Local Parameter'!$A:$A,0))="",20.559,INDEX('Local Parameter'!$H:$H,MATCH("draft",'Local Parameter'!$A:$A,0))))&amp;IF(ISBLANK(INDEX('Local Parameter'!$D:$D,MATCH("draft",'Local Parameter'!$A:$A,0)))," m",IF(INDEX('Local Parameter'!$D:$D,MATCH("draft",'Local Parameter'!$A:$A,0))=""," m",INDEX('Local Parameter'!$D:$D,MATCH("draft",'Local Parameter'!$A:$A,0))))&amp;" | 装载工况 |"</f>
        <v/>
      </c>
      <c r="H2">
        <f>"| mu_deg | "&amp;IF(ISBLANK(INDEX('Local Parameter'!$C:$C,MATCH("mu_deg",'Local Parameter'!$A:$A,0))),"",INDEX('Local Parameter'!$C:$C,MATCH("mu_deg",'Local Parameter'!$A:$A,0)))&amp;IF(ISBLANK(INDEX('Local Parameter'!$H:$H,MATCH("mu_deg",'Local Parameter'!$A:$A,0))),90,IF(INDEX('Local Parameter'!$H:$H,MATCH("mu_deg",'Local Parameter'!$A:$A,0))="",90,INDEX('Local Parameter'!$H:$H,MATCH("mu_deg",'Local Parameter'!$A:$A,0))))&amp;IF(ISBLANK(INDEX('Local Parameter'!$D:$D,MATCH("mu_deg",'Local Parameter'!$A:$A,0)))," deg",IF(INDEX('Local Parameter'!$D:$D,MATCH("mu_deg",'Local Parameter'!$A:$A,0))=""," deg",INDEX('Local Parameter'!$D:$D,MATCH("mu_deg",'Local Parameter'!$A:$A,0))))&amp;" | Table 1A D |"</f>
        <v/>
      </c>
      <c r="I2">
        <f>"| k_c | "&amp;IF(ISBLANK(INDEX('Local Parameter'!$C:$C,MATCH("k_c",'Local Parameter'!$A:$A,0))),"",INDEX('Local Parameter'!$C:$C,MATCH("k_c",'Local Parameter'!$A:$A,0)))&amp;IF(ISBLANK(INDEX('Local Parameter'!$H:$H,MATCH("k_c",'Local Parameter'!$A:$A,0))),1,IF(INDEX('Local Parameter'!$H:$H,MATCH("k_c",'Local Parameter'!$A:$A,0))="",1,INDEX('Local Parameter'!$H:$H,MATCH("k_c",'Local Parameter'!$A:$A,0))))&amp;IF(ISBLANK(INDEX('Local Parameter'!$D:$D,MATCH("k_c",'Local Parameter'!$A:$A,0))),"",INDEX('Local Parameter'!$D:$D,MATCH("k_c",'Local Parameter'!$A:$A,0)))&amp;" | Table 1A C |"</f>
        <v/>
      </c>
      <c r="J2">
        <f>"| k_u | "&amp;IF(ISBLANK(INDEX('Local Parameter'!$C:$C,MATCH("k_u",'Local Parameter'!$A:$A,0))),"",INDEX('Local Parameter'!$C:$C,MATCH("k_u",'Local Parameter'!$A:$A,0)))&amp;IF(ISBLANK(INDEX('Local Parameter'!$H:$H,MATCH("k_u",'Local Parameter'!$A:$A,0))),1.1,IF(INDEX('Local Parameter'!$H:$H,MATCH("k_u",'Local Parameter'!$A:$A,0))="",1.1,INDEX('Local Parameter'!$H:$H,MATCH("k_u",'Local Parameter'!$A:$A,0))))&amp;IF(ISBLANK(INDEX('Local Parameter'!$D:$D,MATCH("k_u",'Local Parameter'!$A:$A,0))),"",INDEX('Local Parameter'!$D:$D,MATCH("k_u",'Local Parameter'!$A:$A,0)))&amp;" | 5A-3-2/7, /9 |"</f>
        <v/>
      </c>
      <c r="K2">
        <f>"| beta_VAC | "&amp;IF(ISBLANK(INDEX('Local Parameter'!$C:$C,MATCH("beta_VAC",'Local Parameter'!$A:$A,0))),"",INDEX('Local Parameter'!$C:$C,MATCH("beta_VAC",'Local Parameter'!$A:$A,0)))&amp;IF(ISBLANK(INDEX('Local Parameter'!$H:$H,MATCH("beta_VAC",'Local Parameter'!$A:$A,0))),0.66,IF(INDEX('Local Parameter'!$H:$H,MATCH("beta_VAC",'Local Parameter'!$A:$A,0))="",0.66,INDEX('Local Parameter'!$H:$H,MATCH("beta_VAC",'Local Parameter'!$A:$A,0))))&amp;IF(ISBLANK(INDEX('Local Parameter'!$D:$D,MATCH("beta_VAC",'Local Parameter'!$A:$A,0))),"",INDEX('Local Parameter'!$D:$D,MATCH("beta_VAC",'Local Parameter'!$A:$A,0)))&amp;" | 5A-3-A1/3 |"</f>
        <v/>
      </c>
      <c r="L2">
        <f>"| beta_LAC | "&amp;IF(ISBLANK(INDEX('Local Parameter'!$C:$C,MATCH("beta_LAC",'Local Parameter'!$A:$A,0))),"",INDEX('Local Parameter'!$C:$C,MATCH("beta_LAC",'Local Parameter'!$A:$A,0)))&amp;IF(ISBLANK(INDEX('Local Parameter'!$H:$H,MATCH("beta_LAC",'Local Parameter'!$A:$A,0))),0.758,IF(INDEX('Local Parameter'!$H:$H,MATCH("beta_LAC",'Local Parameter'!$A:$A,0))="",0.758,INDEX('Local Parameter'!$H:$H,MATCH("beta_LAC",'Local Parameter'!$A:$A,0))))&amp;IF(ISBLANK(INDEX('Local Parameter'!$D:$D,MATCH("beta_LAC",'Local Parameter'!$A:$A,0))),"",INDEX('Local Parameter'!$D:$D,MATCH("beta_LAC",'Local Parameter'!$A:$A,0)))&amp;" | 5A-3-A1/3 |"</f>
        <v/>
      </c>
      <c r="M2">
        <f>"| beta_TAC | "&amp;IF(ISBLANK(INDEX('Local Parameter'!$C:$C,MATCH("beta_TAC",'Local Parameter'!$A:$A,0))),"",INDEX('Local Parameter'!$C:$C,MATCH("beta_TAC",'Local Parameter'!$A:$A,0)))&amp;IF(ISBLANK(INDEX('Local Parameter'!$H:$H,MATCH("beta_TAC",'Local Parameter'!$A:$A,0))),0.557,IF(INDEX('Local Parameter'!$H:$H,MATCH("beta_TAC",'Local Parameter'!$A:$A,0))="",0.557,INDEX('Local Parameter'!$H:$H,MATCH("beta_TAC",'Local Parameter'!$A:$A,0))))&amp;IF(ISBLANK(INDEX('Local Parameter'!$D:$D,MATCH("beta_TAC",'Local Parameter'!$A:$A,0))),"",INDEX('Local Parameter'!$D:$D,MATCH("beta_TAC",'Local Parameter'!$A:$A,0)))&amp;" | 5A-3-A1/3 |"</f>
        <v/>
      </c>
      <c r="N2">
        <f>"| beta_PMO | "&amp;IF(ISBLANK(INDEX('Local Parameter'!$C:$C,MATCH("beta_PMO",'Local Parameter'!$A:$A,0))),"",INDEX('Local Parameter'!$C:$C,MATCH("beta_PMO",'Local Parameter'!$A:$A,0)))&amp;IF(ISBLANK(INDEX('Local Parameter'!$H:$H,MATCH("beta_PMO",'Local Parameter'!$A:$A,0))),0.686,IF(INDEX('Local Parameter'!$H:$H,MATCH("beta_PMO",'Local Parameter'!$A:$A,0))="",0.686,INDEX('Local Parameter'!$H:$H,MATCH("beta_PMO",'Local Parameter'!$A:$A,0))))&amp;IF(ISBLANK(INDEX('Local Parameter'!$D:$D,MATCH("beta_PMO",'Local Parameter'!$A:$A,0))),"",INDEX('Local Parameter'!$D:$D,MATCH("beta_PMO",'Local Parameter'!$A:$A,0)))&amp;" | 5A-3-A1/3 |"</f>
        <v/>
      </c>
      <c r="O2">
        <f>"| beta_RMO | "&amp;IF(ISBLANK(INDEX('Local Parameter'!$C:$C,MATCH("beta_RMO",'Local Parameter'!$A:$A,0))),"",INDEX('Local Parameter'!$C:$C,MATCH("beta_RMO",'Local Parameter'!$A:$A,0)))&amp;IF(ISBLANK(INDEX('Local Parameter'!$H:$H,MATCH("beta_RMO",'Local Parameter'!$A:$A,0))),0.492,IF(INDEX('Local Parameter'!$H:$H,MATCH("beta_RMO",'Local Parameter'!$A:$A,0))="",0.492,INDEX('Local Parameter'!$H:$H,MATCH("beta_RMO",'Local Parameter'!$A:$A,0))))&amp;IF(ISBLANK(INDEX('Local Parameter'!$D:$D,MATCH("beta_RMO",'Local Parameter'!$A:$A,0))),"",INDEX('Local Parameter'!$D:$D,MATCH("beta_RMO",'Local Parameter'!$A:$A,0)))&amp;" | 5A-3-A1/3 |"</f>
        <v/>
      </c>
      <c r="P2">
        <f>"| k_esf | "&amp;IF(ISBLANK(INDEX('Local Parameter'!$C:$C,MATCH("k_esf",'Local Parameter'!$A:$A,0))),"",INDEX('Local Parameter'!$C:$C,MATCH("k_esf",'Local Parameter'!$A:$A,0)))&amp;IF(ISBLANK(INDEX('Local Parameter'!$H:$H,MATCH("k_esf",'Local Parameter'!$A:$A,0))),1.1,IF(INDEX('Local Parameter'!$H:$H,MATCH("k_esf",'Local Parameter'!$A:$A,0))="",1.1,INDEX('Local Parameter'!$H:$H,MATCH("k_esf",'Local Parameter'!$A:$A,0))))&amp;IF(ISBLANK(INDEX('Local Parameter'!$D:$D,MATCH("k_esf",'Local Parameter'!$A:$A,0))),"",INDEX('Local Parameter'!$D:$D,MATCH("k_esf",'Local Parameter'!$A:$A,0)))&amp;" | 项目 |"</f>
        <v/>
      </c>
      <c r="Q2">
        <f>"| w_v / w_l / w_t | "&amp;IF(ISBLANK(INDEX('Local Parameter'!$C:$C,MATCH("w_v",'Local Parameter'!$A:$A,0))),"",INDEX('Local Parameter'!$C:$C,MATCH("w_v",'Local Parameter'!$A:$A,0)))&amp;IF(ISBLANK(INDEX('Local Parameter'!$H:$H,MATCH("w_v",'Local Parameter'!$A:$A,0))),0.75,IF(INDEX('Local Parameter'!$H:$H,MATCH("w_v",'Local Parameter'!$A:$A,0))="",0.75,INDEX('Local Parameter'!$H:$H,MATCH("w_v",'Local Parameter'!$A:$A,0))))&amp;IF(ISBLANK(INDEX('Local Parameter'!$D:$D,MATCH("w_v",'Local Parameter'!$A:$A,0))),"",INDEX('Local Parameter'!$D:$D,MATCH("w_v",'Local Parameter'!$A:$A,0)))&amp;" / "&amp;IF(ISBLANK(INDEX('Local Parameter'!$C:$C,MATCH("w_l",'Local Parameter'!$A:$A,0))),"",INDEX('Local Parameter'!$C:$C,MATCH("w_l",'Local Parameter'!$A:$A,0)))&amp;IF(ISBLANK(INDEX('Local Parameter'!$H:$H,MATCH("w_l",'Local Parameter'!$A:$A,0))),0.25,IF(INDEX('Local Parameter'!$H:$H,MATCH("w_l",'Local Parameter'!$A:$A,0))="",0.25,INDEX('Local Parameter'!$H:$H,MATCH("w_l",'Local Parameter'!$A:$A,0))))&amp;IF(ISBLANK(INDEX('Local Parameter'!$D:$D,MATCH("w_l",'Local Parameter'!$A:$A,0))),"",INDEX('Local Parameter'!$D:$D,MATCH("w_l",'Local Parameter'!$A:$A,0)))&amp;" / "&amp;IF(ISBLANK(INDEX('Local Parameter'!$C:$C,MATCH("w_t",'Local Parameter'!$A:$A,0))),"",INDEX('Local Parameter'!$C:$C,MATCH("w_t",'Local Parameter'!$A:$A,0)))&amp;IF(ISBLANK(INDEX('Local Parameter'!$H:$H,MATCH("w_t",'Local Parameter'!$A:$A,0))),0.75,IF(INDEX('Local Parameter'!$H:$H,MATCH("w_t",'Local Parameter'!$A:$A,0))="",0.75,INDEX('Local Parameter'!$H:$H,MATCH("w_t",'Local Parameter'!$A:$A,0))))&amp;IF(ISBLANK(INDEX('Local Parameter'!$D:$D,MATCH("w_t",'Local Parameter'!$A:$A,0))),"",INDEX('Local Parameter'!$D:$D,MATCH("w_t",'Local Parameter'!$A:$A,0)))&amp;" | Table 1A B |"</f>
        <v/>
      </c>
      <c r="R2">
        <f>"| xi | "&amp;IF(ISBLANK(INDEX('Local Parameter'!$C:$C,MATCH("xi",'Local Parameter'!$A:$A,0))),"",INDEX('Local Parameter'!$C:$C,MATCH("xi",'Local Parameter'!$A:$A,0)))&amp;IF(ISBLANK(INDEX('Local Parameter'!$H:$H,MATCH("xi",'Local Parameter'!$A:$A,0))),21,IF(INDEX('Local Parameter'!$H:$H,MATCH("xi",'Local Parameter'!$A:$A,0))="",21,INDEX('Local Parameter'!$H:$H,MATCH("xi",'Local Parameter'!$A:$A,0))))&amp;IF(ISBLANK(INDEX('Local Parameter'!$D:$D,MATCH("xi",'Local Parameter'!$A:$A,0)))," m",IF(INDEX('Local Parameter'!$D:$D,MATCH("xi",'Local Parameter'!$A:$A,0))=""," m",INDEX('Local Parameter'!$D:$D,MATCH("xi",'Local Parameter'!$A:$A,0))))&amp;" | 5.7.2(b) |"</f>
        <v/>
      </c>
      <c r="S2">
        <f>"| delta_b / delta_h | "&amp;IF(ISBLANK(INDEX('Local Parameter'!$C:$C,MATCH("delta_b",'Local Parameter'!$A:$A,0))),"",INDEX('Local Parameter'!$C:$C,MATCH("delta_b",'Local Parameter'!$A:$A,0)))&amp;IF(ISBLANK(INDEX('Local Parameter'!$H:$H,MATCH("delta_b",'Local Parameter'!$A:$A,0))),0,IF(INDEX('Local Parameter'!$H:$H,MATCH("delta_b",'Local Parameter'!$A:$A,0))="",0,INDEX('Local Parameter'!$H:$H,MATCH("delta_b",'Local Parameter'!$A:$A,0))))&amp;IF(ISBLANK(INDEX('Local Parameter'!$D:$D,MATCH("delta_b",'Local Parameter'!$A:$A,0)))," m",IF(INDEX('Local Parameter'!$D:$D,MATCH("delta_b",'Local Parameter'!$A:$A,0))=""," m",INDEX('Local Parameter'!$D:$D,MATCH("delta_b",'Local Parameter'!$A:$A,0))))&amp;" / "&amp;IF(ISBLANK(INDEX('Local Parameter'!$C:$C,MATCH("delta_h",'Local Parameter'!$A:$A,0))),"",INDEX('Local Parameter'!$C:$C,MATCH("delta_h",'Local Parameter'!$A:$A,0)))&amp;IF(ISBLANK(INDEX('Local Parameter'!$H:$H,MATCH("delta_h",'Local Parameter'!$A:$A,0))),0,IF(INDEX('Local Parameter'!$H:$H,MATCH("delta_h",'Local Parameter'!$A:$A,0))="",0,INDEX('Local Parameter'!$H:$H,MATCH("delta_h",'Local Parameter'!$A:$A,0))))&amp;IF(ISBLANK(INDEX('Local Parameter'!$D:$D,MATCH("delta_h",'Local Parameter'!$A:$A,0)))," m",IF(INDEX('Local Parameter'!$D:$D,MATCH("delta_h",'Local Parameter'!$A:$A,0))=""," m",INDEX('Local Parameter'!$D:$D,MATCH("delta_h",'Local Parameter'!$A:$A,0))))&amp;" | 5.7.2(b) |"</f>
        <v/>
      </c>
      <c r="T2">
        <f>"| rho_tank | "&amp;""&amp;IF(ISBLANK(INDEX('Tank Data'!$B:$B,MATCH(IF(ISBLANK(INDEX('Local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Data'!$A:$A,0))),1025,IF(INDEX('Tank Data'!$B:$B,MATCH(IF(ISBLANK(INDEX('Local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Data'!$A:$A,0))="",1025,INDEX('Tank Data'!$B:$B,MATCH(IF(ISBLANK(INDEX('Local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Data'!$A:$A,0))))&amp;" kg/m^3"&amp;" | 成员表 Tank Data |"</f>
        <v/>
      </c>
      <c r="U2">
        <f>"| l_tank / b_tank / h_tank | "&amp;""&amp;IF(ISBLANK(INDEX('Tank Data'!$C:$C,MATCH(IF(ISBLANK(INDEX('Local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Data'!$A:$A,0))),42,IF(INDEX('Tank Data'!$C:$C,MATCH(IF(ISBLANK(INDEX('Local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Data'!$A:$A,0))="",42,INDEX('Tank Data'!$C:$C,MATCH(IF(ISBLANK(INDEX('Local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Data'!$A:$A,0))))&amp;" m"&amp;" / "&amp;""&amp;IF(ISBLANK(INDEX('Tank Data'!$D:$D,MATCH(IF(ISBLANK(INDEX('Local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Data'!$A:$A,0))),32,IF(INDEX('Tank Data'!$D:$D,MATCH(IF(ISBLANK(INDEX('Local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Data'!$A:$A,0))="",32,INDEX('Tank Data'!$D:$D,MATCH(IF(ISBLANK(INDEX('Local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Data'!$A:$A,0))))&amp;" m"&amp;" / "&amp;""&amp;IF(ISBLANK(INDEX('Tank Data'!$E:$E,MATCH(IF(ISBLANK(INDEX('Local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Data'!$A:$A,0))),32,IF(INDEX('Tank Data'!$E:$E,MATCH(IF(ISBLANK(INDEX('Local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Data'!$A:$A,0))="",32,INDEX('Tank Data'!$E:$E,MATCH(IF(ISBLANK(INDEX('Local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Data'!$A:$A,0))))&amp;" m"&amp;" | Fig. 11 |"</f>
        <v/>
      </c>
      <c r="V2">
        <f>"| eta_deck / eta_overflow | "&amp;""&amp;IF(ISBLANK(INDEX('Tank Data'!$F:$F,MATCH(IF(ISBLANK(INDEX('Local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Data'!$A:$A,0))),0,IF(INDEX('Tank Data'!$F:$F,MATCH(IF(ISBLANK(INDEX('Local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Data'!$A:$A,0))="",0,INDEX('Tank Data'!$F:$F,MATCH(IF(ISBLANK(INDEX('Local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Data'!$A:$A,0))))&amp;" m"&amp;" / "&amp;""&amp;IF(ISBLANK(INDEX('Tank Data'!$G:$G,MATCH(IF(ISBLANK(INDEX('Local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Data'!$A:$A,0))),0,IF(INDEX('Tank Data'!$G:$G,MATCH(IF(ISBLANK(INDEX('Local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Data'!$A:$A,0))="",0,INDEX('Tank Data'!$G:$G,MATCH(IF(ISBLANK(INDEX('Local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Data'!$A:$A,0))))&amp;" m"&amp;" | Fig. 12 |"</f>
        <v/>
      </c>
      <c r="W2">
        <f>"| C_dp / C_ru | "&amp;""&amp;IF(ISBLANK(INDEX('Tank Data'!$H:$H,MATCH(IF(ISBLANK(INDEX('Local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Data'!$A:$A,0))),1,IF(INDEX('Tank Data'!$H:$H,MATCH(IF(ISBLANK(INDEX('Local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Data'!$A:$A,0))="",1,INDEX('Tank Data'!$H:$H,MATCH(IF(ISBLANK(INDEX('Local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Data'!$A:$A,0))))&amp;""&amp;" / "&amp;""&amp;IF(ISBLANK(INDEX('Tank Data'!$I:$I,MATCH(IF(ISBLANK(INDEX('Local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Data'!$A:$A,0))),1,IF(INDEX('Tank Data'!$I:$I,MATCH(IF(ISBLANK(INDEX('Local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Data'!$A:$A,0))="",1,INDEX('Tank Data'!$I:$I,MATCH(IF(ISBLANK(INDEX('Local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Data'!$A:$A,0))))&amp;""&amp;" | 5.7.2(d) |"</f>
        <v/>
      </c>
      <c r="X2">
        <f>"| p_vp | "&amp;""&amp;IF(ISBLANK(INDEX('Tank Data'!$J:$J,MATCH(IF(ISBLANK(INDEX('Local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Data'!$A:$A,0))),0,IF(INDEX('Tank Data'!$J:$J,MATCH(IF(ISBLANK(INDEX('Local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Data'!$A:$A,0))="",0,INDEX('Tank Data'!$J:$J,MATCH(IF(ISBLANK(INDEX('Local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Data'!$A:$A,0))))&amp;" N/cm^2"&amp;" | 成员表 Tank Data |"</f>
        <v/>
      </c>
      <c r="Y2">
        <f>"| GM_full_in / k_r_in | "&amp;""&amp;IF(ISBLANK(INDEX('Tank Data'!$K:$K,MATCH(IF(ISBLANK(INDEX('Local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Data'!$A:$A,0))),0,IF(INDEX('Tank Data'!$K:$K,MATCH(IF(ISBLANK(INDEX('Local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Data'!$A:$A,0))="",0,INDEX('Tank Data'!$K:$K,MATCH(IF(ISBLANK(INDEX('Local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Data'!$A:$A,0))))&amp;" m"&amp;" / "&amp;""&amp;IF(ISBLANK(INDEX('Tank Data'!$L:$L,MATCH(IF(ISBLANK(INDEX('Local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Data'!$A:$A,0))),0,IF(INDEX('Tank Data'!$L:$L,MATCH(IF(ISBLANK(INDEX('Local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Data'!$A:$A,0))="",0,INDEX('Tank Data'!$L:$L,MATCH(IF(ISBLANK(INDEX('Local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Data'!$A:$A,0))))&amp;" m"&amp;" | 稳性计算书 |"</f>
        <v/>
      </c>
      <c r="Z2">
        <f>"| tank_is_ballast / member_11_17 | "&amp;""&amp;IF(ISBLANK(INDEX('Tank Data'!$M:$M,MATCH(IF(ISBLANK(INDEX('Local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Data'!$A:$A,0))),1,IF(INDEX('Tank Data'!$M:$M,MATCH(IF(ISBLANK(INDEX('Local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Data'!$A:$A,0))="",1,INDEX('Tank Data'!$M:$M,MATCH(IF(ISBLANK(INDEX('Local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Data'!$A:$A,0))))&amp;""&amp;" / "&amp;""&amp;IF(ISBLANK(INDEX('Tank Data'!$N:$N,MATCH(IF(ISBLANK(INDEX('Local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Data'!$A:$A,0))),0,IF(INDEX('Tank Data'!$N:$N,MATCH(IF(ISBLANK(INDEX('Local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Data'!$A:$A,0))="",0,INDEX('Tank Data'!$N:$N,MATCH(IF(ISBLANK(INDEX('Local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Data'!$A:$A,0))))&amp;""&amp;" | Table 3 |"</f>
        <v/>
      </c>
      <c r="AA2">
        <f>"| L / B / D / d_f | "&amp;IF(ISBLANK(INDEX('Global Parameter'!$D:$D,MATCH("L",'Global Parameter'!$A:$A,0))),"",INDEX('Global Parameter'!$D:$D,MATCH("L",'Global Parameter'!$A:$A,0)))&amp;IF(ISBLANK(INDEX('Global Parameter'!$B:$B,MATCH("L",'Global Parameter'!$A:$A,0))),340,IF(INDEX('Global Parameter'!$B:$B,MATCH("L",'Global Parameter'!$A:$A,0))="",340,INDEX('Global Parameter'!$B:$B,MATCH("L",'Global Parameter'!$A:$A,0))))&amp;IF(ISBLANK(INDEX('Global Parameter'!$E:$E,MATCH("L",'Global Parameter'!$A:$A,0)))," m",IF(INDEX('Global Parameter'!$E:$E,MATCH("L",'Global Parameter'!$A:$A,0))=""," m",INDEX('Global Parameter'!$E:$E,MATCH("L",'Global Parameter'!$A:$A,0))))&amp;" / "&amp;IF(ISBLANK(INDEX('Global Parameter'!$D:$D,MATCH("B",'Global Parameter'!$A:$A,0))),"",INDEX('Global Parameter'!$D:$D,MATCH("B",'Global Parameter'!$A:$A,0)))&amp;IF(ISBLANK(INDEX('Global Parameter'!$B:$B,MATCH("B",'Global Parameter'!$A:$A,0))),64,IF(INDEX('Global Parameter'!$B:$B,MATCH("B",'Global Parameter'!$A:$A,0))="",64,INDEX('Global Parameter'!$B:$B,MATCH("B",'Global Parameter'!$A:$A,0))))&amp;IF(ISBLANK(INDEX('Global Parameter'!$E:$E,MATCH("B",'Global Parameter'!$A:$A,0)))," m",IF(INDEX('Global Parameter'!$E:$E,MATCH("B",'Global Parameter'!$A:$A,0))=""," m",INDEX('Global Parameter'!$E:$E,MATCH("B",'Global Parameter'!$A:$A,0))))&amp;" / "&amp;IF(ISBLANK(INDEX('Global Parameter'!$D:$D,MATCH("D",'Global Parameter'!$A:$A,0))),"",INDEX('Global Parameter'!$D:$D,MATCH("D",'Global Parameter'!$A:$A,0)))&amp;IF(ISBLANK(INDEX('Global Parameter'!$B:$B,MATCH("D",'Global Parameter'!$A:$A,0))),32,IF(INDEX('Global Parameter'!$B:$B,MATCH("D",'Global Parameter'!$A:$A,0))="",32,INDEX('Global Parameter'!$B:$B,MATCH("D",'Global Parameter'!$A:$A,0))))&amp;IF(ISBLANK(INDEX('Global Parameter'!$E:$E,MATCH("D",'Global Parameter'!$A:$A,0)))," m",IF(INDEX('Global Parameter'!$E:$E,MATCH("D",'Global Parameter'!$A:$A,0))=""," m",INDEX('Global Parameter'!$E:$E,MATCH("D",'Global Parameter'!$A:$A,0))))&amp;" / "&amp;IF(ISBLANK(INDEX('Global Parameter'!$D:$D,MATCH("d_f",'Global Parameter'!$A:$A,0))),"",INDEX('Global Parameter'!$D:$D,MATCH("d_f",'Global Parameter'!$A:$A,0)))&amp;IF(ISBLANK(INDEX('Global Parameter'!$B:$B,MATCH("d_f",'Global Parameter'!$A:$A,0))),20.559,IF(INDEX('Global Parameter'!$B:$B,MATCH("d_f",'Global Parameter'!$A:$A,0))="",20.559,INDEX('Global Parameter'!$B:$B,MATCH("d_f",'Global Parameter'!$A:$A,0))))&amp;IF(ISBLANK(INDEX('Global Parameter'!$E:$E,MATCH("d_f",'Global Parameter'!$A:$A,0)))," m",IF(INDEX('Global Parameter'!$E:$E,MATCH("d_f",'Global Parameter'!$A:$A,0))=""," m",INDEX('Global Parameter'!$E:$E,MATCH("d_f",'Global Parameter'!$A:$A,0))))&amp;" | 3-1-1/3 |"</f>
        <v/>
      </c>
      <c r="AB2">
        <f>"| rho_sea / g / Cb | "&amp;IF(ISBLANK(INDEX('Global Parameter'!$D:$D,MATCH("rho_sea",'Global Parameter'!$A:$A,0))),"",INDEX('Global Parameter'!$D:$D,MATCH("rho_sea",'Global Parameter'!$A:$A,0)))&amp;IF(ISBLANK(INDEX('Global Parameter'!$B:$B,MATCH("rho_sea",'Global Parameter'!$A:$A,0))),1025,IF(INDEX('Global Parameter'!$B:$B,MATCH("rho_sea",'Global Parameter'!$A:$A,0))="",1025,INDEX('Global Parameter'!$B:$B,MATCH("rho_sea",'Global Parameter'!$A:$A,0))))&amp;IF(ISBLANK(INDEX('Global Parameter'!$E:$E,MATCH("rho_sea",'Global Parameter'!$A:$A,0)))," kg/m^3",IF(INDEX('Global Parameter'!$E:$E,MATCH("rho_sea",'Global Parameter'!$A:$A,0))=""," kg/m^3",INDEX('Global Parameter'!$E:$E,MATCH("rho_sea",'Global Parameter'!$A:$A,0))))&amp;" / "&amp;IF(ISBLANK(INDEX('Global Parameter'!$D:$D,MATCH("g",'Global Parameter'!$A:$A,0))),"",INDEX('Global Parameter'!$D:$D,MATCH("g",'Global Parameter'!$A:$A,0)))&amp;IF(ISBLANK(INDEX('Global Parameter'!$B:$B,MATCH("g",'Global Parameter'!$A:$A,0))),9.81,IF(INDEX('Global Parameter'!$B:$B,MATCH("g",'Global Parameter'!$A:$A,0))="",9.81,INDEX('Global Parameter'!$B:$B,MATCH("g",'Global Parameter'!$A:$A,0))))&amp;IF(ISBLANK(INDEX('Global Parameter'!$E:$E,MATCH("g",'Global Parameter'!$A:$A,0)))," m/s^2",IF(INDEX('Global Parameter'!$E:$E,MATCH("g",'Global Parameter'!$A:$A,0))=""," m/s^2",INDEX('Global Parameter'!$E:$E,MATCH("g",'Global Parameter'!$A:$A,0))))&amp;" / "&amp;IF(ISBLANK(INDEX('Global Parameter'!$D:$D,MATCH("Cb",'Global Parameter'!$A:$A,0))),"",INDEX('Global Parameter'!$D:$D,MATCH("Cb",'Global Parameter'!$A:$A,0)))&amp;IF(ISBLANK(INDEX('Global Parameter'!$B:$B,MATCH("Cb",'Global Parameter'!$A:$A,0))),1,IF(INDEX('Global Parameter'!$B:$B,MATCH("Cb",'Global Parameter'!$A:$A,0))="",1,INDEX('Global Parameter'!$B:$B,MATCH("Cb",'Global Parameter'!$A:$A,0))))&amp;IF(ISBLANK(INDEX('Global Parameter'!$E:$E,MATCH("Cb",'Global Parameter'!$A:$A,0))),"",INDEX('Global Parameter'!$E:$E,MATCH("Cb",'Global Parameter'!$A:$A,0)))&amp;" | 5.7.1 |"</f>
        <v/>
      </c>
      <c r="AC2">
        <f>"| rho_g_lo / rho_g_hi | "&amp;IF(ISBLANK(INDEX('Global Parameter'!$D:$D,MATCH("rho_g_lo",'Global Parameter'!$A:$A,0))),"",INDEX('Global Parameter'!$D:$D,MATCH("rho_g_lo",'Global Parameter'!$A:$A,0)))&amp;IF(ISBLANK(INDEX('Global Parameter'!$B:$B,MATCH("rho_g_lo",'Global Parameter'!$A:$A,0))),10050,IF(INDEX('Global Parameter'!$B:$B,MATCH("rho_g_lo",'Global Parameter'!$A:$A,0))="",10050,INDEX('Global Parameter'!$B:$B,MATCH("rho_g_lo",'Global Parameter'!$A:$A,0))))&amp;IF(ISBLANK(INDEX('Global Parameter'!$E:$E,MATCH("rho_g_lo",'Global Parameter'!$A:$A,0)))," N/m^3",IF(INDEX('Global Parameter'!$E:$E,MATCH("rho_g_lo",'Global Parameter'!$A:$A,0))=""," N/m^3",INDEX('Global Parameter'!$E:$E,MATCH("rho_g_lo",'Global Parameter'!$A:$A,0))))&amp;" / "&amp;IF(ISBLANK(INDEX('Global Parameter'!$D:$D,MATCH("rho_g_hi",'Global Parameter'!$A:$A,0))),"",INDEX('Global Parameter'!$D:$D,MATCH("rho_g_hi",'Global Parameter'!$A:$A,0)))&amp;IF(ISBLANK(INDEX('Global Parameter'!$B:$B,MATCH("rho_g_hi",'Global Parameter'!$A:$A,0))),11180,IF(INDEX('Global Parameter'!$B:$B,MATCH("rho_g_hi",'Global Parameter'!$A:$A,0))="",11180,INDEX('Global Parameter'!$B:$B,MATCH("rho_g_hi",'Global Parameter'!$A:$A,0))))&amp;IF(ISBLANK(INDEX('Global Parameter'!$E:$E,MATCH("rho_g_hi",'Global Parameter'!$A:$A,0)))," N/m^3",IF(INDEX('Global Parameter'!$E:$E,MATCH("rho_g_hi",'Global Parameter'!$A:$A,0))=""," N/m^3",INDEX('Global Parameter'!$E:$E,MATCH("rho_g_hi",'Global Parameter'!$A:$A,0))))&amp;" | 5.7.2(a) |"</f>
        <v/>
      </c>
      <c r="AD2">
        <f>"| axis ax | ("&amp;IF(ISBLANK(INDEX('Global Parameter'!$D:$D,MATCH("ax_x",'Global Parameter'!$A:$A,0))),"",INDEX('Global Parameter'!$D:$D,MATCH("ax_x",'Global Parameter'!$A:$A,0)))&amp;IF(ISBLANK(INDEX('Global Parameter'!$B:$B,MATCH("ax_x",'Global Parameter'!$A:$A,0))),"1",IF(INDEX('Global Parameter'!$B:$B,MATCH("ax_x",'Global Parameter'!$A:$A,0))="","1",INDEX('Global Parameter'!$B:$B,MATCH("ax_x",'Global Parameter'!$A:$A,0))))&amp;IF(ISBLANK(INDEX('Global Parameter'!$E:$E,MATCH("ax_x",'Global Parameter'!$A:$A,0))),"",INDEX('Global Parameter'!$E:$E,MATCH("ax_x",'Global Parameter'!$A:$A,0)))&amp;", "&amp;IF(ISBLANK(INDEX('Global Parameter'!$D:$D,MATCH("ax_y",'Global Parameter'!$A:$A,0))),"",INDEX('Global Parameter'!$D:$D,MATCH("ax_y",'Global Parameter'!$A:$A,0)))&amp;IF(ISBLANK(INDEX('Global Parameter'!$B:$B,MATCH("ax_y",'Global Parameter'!$A:$A,0))),"2",IF(INDEX('Global Parameter'!$B:$B,MATCH("ax_y",'Global Parameter'!$A:$A,0))="","2",INDEX('Global Parameter'!$B:$B,MATCH("ax_y",'Global Parameter'!$A:$A,0))))&amp;IF(ISBLANK(INDEX('Global Parameter'!$E:$E,MATCH("ax_y",'Global Parameter'!$A:$A,0))),"",INDEX('Global Parameter'!$E:$E,MATCH("ax_y",'Global Parameter'!$A:$A,0)))&amp;", "&amp;IF(ISBLANK(INDEX('Global Parameter'!$D:$D,MATCH("ax_z",'Global Parameter'!$A:$A,0))),"",INDEX('Global Parameter'!$D:$D,MATCH("ax_z",'Global Parameter'!$A:$A,0)))&amp;IF(ISBLANK(INDEX('Global Parameter'!$B:$B,MATCH("ax_z",'Global Parameter'!$A:$A,0))),"3",IF(INDEX('Global Parameter'!$B:$B,MATCH("ax_z",'Global Parameter'!$A:$A,0))="","3",INDEX('Global Parameter'!$B:$B,MATCH("ax_z",'Global Parameter'!$A:$A,0))))&amp;IF(ISBLANK(INDEX('Global Parameter'!$E:$E,MATCH("ax_z",'Global Parameter'!$A:$A,0))),"",INDEX('Global Parameter'!$E:$E,MATCH("ax_z",'Global Parameter'!$A:$A,0)))&amp;") | 模型 |"</f>
        <v/>
      </c>
      <c r="AE2">
        <f>"| axis neg | ("&amp;IF(ISBLANK(INDEX('Global Parameter'!$D:$D,MATCH("neg_x",'Global Parameter'!$A:$A,0))),"",INDEX('Global Parameter'!$D:$D,MATCH("neg_x",'Global Parameter'!$A:$A,0)))&amp;IF(ISBLANK(INDEX('Global Parameter'!$B:$B,MATCH("neg_x",'Global Parameter'!$A:$A,0))),"",INDEX('Global Parameter'!$B:$B,MATCH("neg_x",'Global Parameter'!$A:$A,0)))&amp;IF(ISBLANK(INDEX('Global Parameter'!$E:$E,MATCH("neg_x",'Global Parameter'!$A:$A,0))),"",INDEX('Global Parameter'!$E:$E,MATCH("neg_x",'Global Parameter'!$A:$A,0)))&amp;" / "&amp;IF(ISBLANK(INDEX('Global Parameter'!$D:$D,MATCH("neg_y",'Global Parameter'!$A:$A,0))),"",INDEX('Global Parameter'!$D:$D,MATCH("neg_y",'Global Parameter'!$A:$A,0)))&amp;IF(ISBLANK(INDEX('Global Parameter'!$B:$B,MATCH("neg_y",'Global Parameter'!$A:$A,0))),"",INDEX('Global Parameter'!$B:$B,MATCH("neg_y",'Global Parameter'!$A:$A,0)))&amp;IF(ISBLANK(INDEX('Global Parameter'!$E:$E,MATCH("neg_y",'Global Parameter'!$A:$A,0))),"",INDEX('Global Parameter'!$E:$E,MATCH("neg_y",'Global Parameter'!$A:$A,0)))&amp;" / "&amp;IF(ISBLANK(INDEX('Global Parameter'!$D:$D,MATCH("neg_z",'Global Parameter'!$A:$A,0))),"",INDEX('Global Parameter'!$D:$D,MATCH("neg_z",'Global Parameter'!$A:$A,0)))&amp;IF(ISBLANK(INDEX('Global Parameter'!$B:$B,MATCH("neg_z",'Global Parameter'!$A:$A,0))),"",INDEX('Global Parameter'!$B:$B,MATCH("neg_z",'Global Parameter'!$A:$A,0)))&amp;IF(ISBLANK(INDEX('Global Parameter'!$E:$E,MATCH("neg_z",'Global Parameter'!$A:$A,0))),"",INDEX('Global Parameter'!$E:$E,MATCH("neg_z",'Global Parameter'!$A:$A,0)))&amp;") | 模型 |"</f>
        <v/>
      </c>
    </row>
    <row r="3">
      <c r="A3" s="19" t="inlineStr">
        <is>
          <t>WBT6-d15.059-mu0</t>
        </is>
      </c>
      <c r="B3">
        <f>"| 项目 | 值 | 出处 |"</f>
        <v/>
      </c>
      <c r="C3">
        <f>"| --- | --- | --- |"</f>
        <v/>
      </c>
      <c r="D3">
        <f>"| case_name | "&amp;'Local Parameter'!$I$1&amp;" | 工况名（Excel 表头） |"</f>
        <v/>
      </c>
      <c r="E3">
        <f>"| kind | "&amp;IF(ISBLANK(INDEX('Local Parameter'!$C:$C,MATCH("kind",'Local Parameter'!$A:$A,0))),"",INDEX('Local Parameter'!$C:$C,MATCH("kind",'Local Parameter'!$A:$A,0)))&amp;IF(ISBLANK(INDEX('Local Parameter'!$I:$I,MATCH("kind",'Local Parameter'!$A:$A,0))),"EXT",IF(INDEX('Local Parameter'!$I:$I,MATCH("kind",'Local Parameter'!$A:$A,0))="","EXT",INDEX('Local Parameter'!$I:$I,MATCH("kind",'Local Parameter'!$A:$A,0))))&amp;IF(ISBLANK(INDEX('Local Parameter'!$D:$D,MATCH("kind",'Local Parameter'!$A:$A,0))),"",INDEX('Local Parameter'!$D:$D,MATCH("kind",'Local Parameter'!$A:$A,0)))&amp;" | 规则集（多规则集共用一本工作簿时用 case_filter 分流） |"</f>
        <v/>
      </c>
      <c r="F3">
        <f>"| tank_ref | "&amp;IF(ISBLANK(INDEX('Local Parameter'!$C:$C,MATCH("tank_ref",'Local Parameter'!$A:$A,0))),"",INDEX('Local Parameter'!$C:$C,MATCH("tank_ref",'Local Parameter'!$A:$A,0)))&amp;IF(ISBLANK(INDEX('Local Parameter'!$I:$I,MATCH("tank_ref",'Local Parameter'!$A:$A,0))),"WBT6",IF(INDEX('Local Parameter'!$I:$I,MATCH("tank_ref",'Local Parameter'!$A:$A,0))="","WBT6",INDEX('Local Parameter'!$I:$I,MATCH("tank_ref",'Local Parameter'!$A:$A,0))))&amp;IF(ISBLANK(INDEX('Local Parameter'!$D:$D,MATCH("tank_ref",'Local Parameter'!$A:$A,0))),"",INDEX('Local Parameter'!$D:$D,MATCH("tank_ref",'Local Parameter'!$A:$A,0)))&amp;" | 指向成员表 `Tank Data` 的哪一行（指南 §18） |"</f>
        <v/>
      </c>
      <c r="G3">
        <f>"| draft | "&amp;IF(ISBLANK(INDEX('Local Parameter'!$C:$C,MATCH("draft",'Local Parameter'!$A:$A,0))),"",INDEX('Local Parameter'!$C:$C,MATCH("draft",'Local Parameter'!$A:$A,0)))&amp;IF(ISBLANK(INDEX('Local Parameter'!$I:$I,MATCH("draft",'Local Parameter'!$A:$A,0))),20.559,IF(INDEX('Local Parameter'!$I:$I,MATCH("draft",'Local Parameter'!$A:$A,0))="",20.559,INDEX('Local Parameter'!$I:$I,MATCH("draft",'Local Parameter'!$A:$A,0))))&amp;IF(ISBLANK(INDEX('Local Parameter'!$D:$D,MATCH("draft",'Local Parameter'!$A:$A,0)))," m",IF(INDEX('Local Parameter'!$D:$D,MATCH("draft",'Local Parameter'!$A:$A,0))=""," m",INDEX('Local Parameter'!$D:$D,MATCH("draft",'Local Parameter'!$A:$A,0))))&amp;" | 装载工况 |"</f>
        <v/>
      </c>
      <c r="H3">
        <f>"| mu_deg | "&amp;IF(ISBLANK(INDEX('Local Parameter'!$C:$C,MATCH("mu_deg",'Local Parameter'!$A:$A,0))),"",INDEX('Local Parameter'!$C:$C,MATCH("mu_deg",'Local Parameter'!$A:$A,0)))&amp;IF(ISBLANK(INDEX('Local Parameter'!$I:$I,MATCH("mu_deg",'Local Parameter'!$A:$A,0))),90,IF(INDEX('Local Parameter'!$I:$I,MATCH("mu_deg",'Local Parameter'!$A:$A,0))="",90,INDEX('Local Parameter'!$I:$I,MATCH("mu_deg",'Local Parameter'!$A:$A,0))))&amp;IF(ISBLANK(INDEX('Local Parameter'!$D:$D,MATCH("mu_deg",'Local Parameter'!$A:$A,0)))," deg",IF(INDEX('Local Parameter'!$D:$D,MATCH("mu_deg",'Local Parameter'!$A:$A,0))=""," deg",INDEX('Local Parameter'!$D:$D,MATCH("mu_deg",'Local Parameter'!$A:$A,0))))&amp;" | Table 1A D |"</f>
        <v/>
      </c>
      <c r="I3">
        <f>"| k_c | "&amp;IF(ISBLANK(INDEX('Local Parameter'!$C:$C,MATCH("k_c",'Local Parameter'!$A:$A,0))),"",INDEX('Local Parameter'!$C:$C,MATCH("k_c",'Local Parameter'!$A:$A,0)))&amp;IF(ISBLANK(INDEX('Local Parameter'!$I:$I,MATCH("k_c",'Local Parameter'!$A:$A,0))),1,IF(INDEX('Local Parameter'!$I:$I,MATCH("k_c",'Local Parameter'!$A:$A,0))="",1,INDEX('Local Parameter'!$I:$I,MATCH("k_c",'Local Parameter'!$A:$A,0))))&amp;IF(ISBLANK(INDEX('Local Parameter'!$D:$D,MATCH("k_c",'Local Parameter'!$A:$A,0))),"",INDEX('Local Parameter'!$D:$D,MATCH("k_c",'Local Parameter'!$A:$A,0)))&amp;" | Table 1A C |"</f>
        <v/>
      </c>
      <c r="J3">
        <f>"| k_u | "&amp;IF(ISBLANK(INDEX('Local Parameter'!$C:$C,MATCH("k_u",'Local Parameter'!$A:$A,0))),"",INDEX('Local Parameter'!$C:$C,MATCH("k_u",'Local Parameter'!$A:$A,0)))&amp;IF(ISBLANK(INDEX('Local Parameter'!$I:$I,MATCH("k_u",'Local Parameter'!$A:$A,0))),1.1,IF(INDEX('Local Parameter'!$I:$I,MATCH("k_u",'Local Parameter'!$A:$A,0))="",1.1,INDEX('Local Parameter'!$I:$I,MATCH("k_u",'Local Parameter'!$A:$A,0))))&amp;IF(ISBLANK(INDEX('Local Parameter'!$D:$D,MATCH("k_u",'Local Parameter'!$A:$A,0))),"",INDEX('Local Parameter'!$D:$D,MATCH("k_u",'Local Parameter'!$A:$A,0)))&amp;" | 5A-3-2/7, /9 |"</f>
        <v/>
      </c>
      <c r="K3">
        <f>"| beta_VAC | "&amp;IF(ISBLANK(INDEX('Local Parameter'!$C:$C,MATCH("beta_VAC",'Local Parameter'!$A:$A,0))),"",INDEX('Local Parameter'!$C:$C,MATCH("beta_VAC",'Local Parameter'!$A:$A,0)))&amp;IF(ISBLANK(INDEX('Local Parameter'!$I:$I,MATCH("beta_VAC",'Local Parameter'!$A:$A,0))),0.66,IF(INDEX('Local Parameter'!$I:$I,MATCH("beta_VAC",'Local Parameter'!$A:$A,0))="",0.66,INDEX('Local Parameter'!$I:$I,MATCH("beta_VAC",'Local Parameter'!$A:$A,0))))&amp;IF(ISBLANK(INDEX('Local Parameter'!$D:$D,MATCH("beta_VAC",'Local Parameter'!$A:$A,0))),"",INDEX('Local Parameter'!$D:$D,MATCH("beta_VAC",'Local Parameter'!$A:$A,0)))&amp;" | 5A-3-A1/3 |"</f>
        <v/>
      </c>
      <c r="L3">
        <f>"| beta_LAC | "&amp;IF(ISBLANK(INDEX('Local Parameter'!$C:$C,MATCH("beta_LAC",'Local Parameter'!$A:$A,0))),"",INDEX('Local Parameter'!$C:$C,MATCH("beta_LAC",'Local Parameter'!$A:$A,0)))&amp;IF(ISBLANK(INDEX('Local Parameter'!$I:$I,MATCH("beta_LAC",'Local Parameter'!$A:$A,0))),0.758,IF(INDEX('Local Parameter'!$I:$I,MATCH("beta_LAC",'Local Parameter'!$A:$A,0))="",0.758,INDEX('Local Parameter'!$I:$I,MATCH("beta_LAC",'Local Parameter'!$A:$A,0))))&amp;IF(ISBLANK(INDEX('Local Parameter'!$D:$D,MATCH("beta_LAC",'Local Parameter'!$A:$A,0))),"",INDEX('Local Parameter'!$D:$D,MATCH("beta_LAC",'Local Parameter'!$A:$A,0)))&amp;" | 5A-3-A1/3 |"</f>
        <v/>
      </c>
      <c r="M3">
        <f>"| beta_TAC | "&amp;IF(ISBLANK(INDEX('Local Parameter'!$C:$C,MATCH("beta_TAC",'Local Parameter'!$A:$A,0))),"",INDEX('Local Parameter'!$C:$C,MATCH("beta_TAC",'Local Parameter'!$A:$A,0)))&amp;IF(ISBLANK(INDEX('Local Parameter'!$I:$I,MATCH("beta_TAC",'Local Parameter'!$A:$A,0))),0.557,IF(INDEX('Local Parameter'!$I:$I,MATCH("beta_TAC",'Local Parameter'!$A:$A,0))="",0.557,INDEX('Local Parameter'!$I:$I,MATCH("beta_TAC",'Local Parameter'!$A:$A,0))))&amp;IF(ISBLANK(INDEX('Local Parameter'!$D:$D,MATCH("beta_TAC",'Local Parameter'!$A:$A,0))),"",INDEX('Local Parameter'!$D:$D,MATCH("beta_TAC",'Local Parameter'!$A:$A,0)))&amp;" | 5A-3-A1/3 |"</f>
        <v/>
      </c>
      <c r="N3">
        <f>"| beta_PMO | "&amp;IF(ISBLANK(INDEX('Local Parameter'!$C:$C,MATCH("beta_PMO",'Local Parameter'!$A:$A,0))),"",INDEX('Local Parameter'!$C:$C,MATCH("beta_PMO",'Local Parameter'!$A:$A,0)))&amp;IF(ISBLANK(INDEX('Local Parameter'!$I:$I,MATCH("beta_PMO",'Local Parameter'!$A:$A,0))),0.686,IF(INDEX('Local Parameter'!$I:$I,MATCH("beta_PMO",'Local Parameter'!$A:$A,0))="",0.686,INDEX('Local Parameter'!$I:$I,MATCH("beta_PMO",'Local Parameter'!$A:$A,0))))&amp;IF(ISBLANK(INDEX('Local Parameter'!$D:$D,MATCH("beta_PMO",'Local Parameter'!$A:$A,0))),"",INDEX('Local Parameter'!$D:$D,MATCH("beta_PMO",'Local Parameter'!$A:$A,0)))&amp;" | 5A-3-A1/3 |"</f>
        <v/>
      </c>
      <c r="O3">
        <f>"| beta_RMO | "&amp;IF(ISBLANK(INDEX('Local Parameter'!$C:$C,MATCH("beta_RMO",'Local Parameter'!$A:$A,0))),"",INDEX('Local Parameter'!$C:$C,MATCH("beta_RMO",'Local Parameter'!$A:$A,0)))&amp;IF(ISBLANK(INDEX('Local Parameter'!$I:$I,MATCH("beta_RMO",'Local Parameter'!$A:$A,0))),0.492,IF(INDEX('Local Parameter'!$I:$I,MATCH("beta_RMO",'Local Parameter'!$A:$A,0))="",0.492,INDEX('Local Parameter'!$I:$I,MATCH("beta_RMO",'Local Parameter'!$A:$A,0))))&amp;IF(ISBLANK(INDEX('Local Parameter'!$D:$D,MATCH("beta_RMO",'Local Parameter'!$A:$A,0))),"",INDEX('Local Parameter'!$D:$D,MATCH("beta_RMO",'Local Parameter'!$A:$A,0)))&amp;" | 5A-3-A1/3 |"</f>
        <v/>
      </c>
      <c r="P3">
        <f>"| k_esf | "&amp;IF(ISBLANK(INDEX('Local Parameter'!$C:$C,MATCH("k_esf",'Local Parameter'!$A:$A,0))),"",INDEX('Local Parameter'!$C:$C,MATCH("k_esf",'Local Parameter'!$A:$A,0)))&amp;IF(ISBLANK(INDEX('Local Parameter'!$I:$I,MATCH("k_esf",'Local Parameter'!$A:$A,0))),1.1,IF(INDEX('Local Parameter'!$I:$I,MATCH("k_esf",'Local Parameter'!$A:$A,0))="",1.1,INDEX('Local Parameter'!$I:$I,MATCH("k_esf",'Local Parameter'!$A:$A,0))))&amp;IF(ISBLANK(INDEX('Local Parameter'!$D:$D,MATCH("k_esf",'Local Parameter'!$A:$A,0))),"",INDEX('Local Parameter'!$D:$D,MATCH("k_esf",'Local Parameter'!$A:$A,0)))&amp;" | 项目 |"</f>
        <v/>
      </c>
      <c r="Q3">
        <f>"| w_v / w_l / w_t | "&amp;IF(ISBLANK(INDEX('Local Parameter'!$C:$C,MATCH("w_v",'Local Parameter'!$A:$A,0))),"",INDEX('Local Parameter'!$C:$C,MATCH("w_v",'Local Parameter'!$A:$A,0)))&amp;IF(ISBLANK(INDEX('Local Parameter'!$I:$I,MATCH("w_v",'Local Parameter'!$A:$A,0))),0.75,IF(INDEX('Local Parameter'!$I:$I,MATCH("w_v",'Local Parameter'!$A:$A,0))="",0.75,INDEX('Local Parameter'!$I:$I,MATCH("w_v",'Local Parameter'!$A:$A,0))))&amp;IF(ISBLANK(INDEX('Local Parameter'!$D:$D,MATCH("w_v",'Local Parameter'!$A:$A,0))),"",INDEX('Local Parameter'!$D:$D,MATCH("w_v",'Local Parameter'!$A:$A,0)))&amp;" / "&amp;IF(ISBLANK(INDEX('Local Parameter'!$C:$C,MATCH("w_l",'Local Parameter'!$A:$A,0))),"",INDEX('Local Parameter'!$C:$C,MATCH("w_l",'Local Parameter'!$A:$A,0)))&amp;IF(ISBLANK(INDEX('Local Parameter'!$I:$I,MATCH("w_l",'Local Parameter'!$A:$A,0))),0.25,IF(INDEX('Local Parameter'!$I:$I,MATCH("w_l",'Local Parameter'!$A:$A,0))="",0.25,INDEX('Local Parameter'!$I:$I,MATCH("w_l",'Local Parameter'!$A:$A,0))))&amp;IF(ISBLANK(INDEX('Local Parameter'!$D:$D,MATCH("w_l",'Local Parameter'!$A:$A,0))),"",INDEX('Local Parameter'!$D:$D,MATCH("w_l",'Local Parameter'!$A:$A,0)))&amp;" / "&amp;IF(ISBLANK(INDEX('Local Parameter'!$C:$C,MATCH("w_t",'Local Parameter'!$A:$A,0))),"",INDEX('Local Parameter'!$C:$C,MATCH("w_t",'Local Parameter'!$A:$A,0)))&amp;IF(ISBLANK(INDEX('Local Parameter'!$I:$I,MATCH("w_t",'Local Parameter'!$A:$A,0))),0.75,IF(INDEX('Local Parameter'!$I:$I,MATCH("w_t",'Local Parameter'!$A:$A,0))="",0.75,INDEX('Local Parameter'!$I:$I,MATCH("w_t",'Local Parameter'!$A:$A,0))))&amp;IF(ISBLANK(INDEX('Local Parameter'!$D:$D,MATCH("w_t",'Local Parameter'!$A:$A,0))),"",INDEX('Local Parameter'!$D:$D,MATCH("w_t",'Local Parameter'!$A:$A,0)))&amp;" | Table 1A B |"</f>
        <v/>
      </c>
      <c r="R3">
        <f>"| xi | "&amp;IF(ISBLANK(INDEX('Local Parameter'!$C:$C,MATCH("xi",'Local Parameter'!$A:$A,0))),"",INDEX('Local Parameter'!$C:$C,MATCH("xi",'Local Parameter'!$A:$A,0)))&amp;IF(ISBLANK(INDEX('Local Parameter'!$I:$I,MATCH("xi",'Local Parameter'!$A:$A,0))),21,IF(INDEX('Local Parameter'!$I:$I,MATCH("xi",'Local Parameter'!$A:$A,0))="",21,INDEX('Local Parameter'!$I:$I,MATCH("xi",'Local Parameter'!$A:$A,0))))&amp;IF(ISBLANK(INDEX('Local Parameter'!$D:$D,MATCH("xi",'Local Parameter'!$A:$A,0)))," m",IF(INDEX('Local Parameter'!$D:$D,MATCH("xi",'Local Parameter'!$A:$A,0))=""," m",INDEX('Local Parameter'!$D:$D,MATCH("xi",'Local Parameter'!$A:$A,0))))&amp;" | 5.7.2(b) |"</f>
        <v/>
      </c>
      <c r="S3">
        <f>"| delta_b / delta_h | "&amp;IF(ISBLANK(INDEX('Local Parameter'!$C:$C,MATCH("delta_b",'Local Parameter'!$A:$A,0))),"",INDEX('Local Parameter'!$C:$C,MATCH("delta_b",'Local Parameter'!$A:$A,0)))&amp;IF(ISBLANK(INDEX('Local Parameter'!$I:$I,MATCH("delta_b",'Local Parameter'!$A:$A,0))),0,IF(INDEX('Local Parameter'!$I:$I,MATCH("delta_b",'Local Parameter'!$A:$A,0))="",0,INDEX('Local Parameter'!$I:$I,MATCH("delta_b",'Local Parameter'!$A:$A,0))))&amp;IF(ISBLANK(INDEX('Local Parameter'!$D:$D,MATCH("delta_b",'Local Parameter'!$A:$A,0)))," m",IF(INDEX('Local Parameter'!$D:$D,MATCH("delta_b",'Local Parameter'!$A:$A,0))=""," m",INDEX('Local Parameter'!$D:$D,MATCH("delta_b",'Local Parameter'!$A:$A,0))))&amp;" / "&amp;IF(ISBLANK(INDEX('Local Parameter'!$C:$C,MATCH("delta_h",'Local Parameter'!$A:$A,0))),"",INDEX('Local Parameter'!$C:$C,MATCH("delta_h",'Local Parameter'!$A:$A,0)))&amp;IF(ISBLANK(INDEX('Local Parameter'!$I:$I,MATCH("delta_h",'Local Parameter'!$A:$A,0))),0,IF(INDEX('Local Parameter'!$I:$I,MATCH("delta_h",'Local Parameter'!$A:$A,0))="",0,INDEX('Local Parameter'!$I:$I,MATCH("delta_h",'Local Parameter'!$A:$A,0))))&amp;IF(ISBLANK(INDEX('Local Parameter'!$D:$D,MATCH("delta_h",'Local Parameter'!$A:$A,0)))," m",IF(INDEX('Local Parameter'!$D:$D,MATCH("delta_h",'Local Parameter'!$A:$A,0))=""," m",INDEX('Local Parameter'!$D:$D,MATCH("delta_h",'Local Parameter'!$A:$A,0))))&amp;" | 5.7.2(b) |"</f>
        <v/>
      </c>
      <c r="T3">
        <f>"| rho_tank | "&amp;""&amp;IF(ISBLANK(INDEX('Tank Data'!$B:$B,MATCH(IF(ISBLANK(INDEX('Local Parameter'!$I:$I,MATCH("tank_ref",'Local Parameter'!$A:$A,0))),"WBT6",IF(INDEX('Local Parameter'!$I:$I,MATCH("tank_ref",'Local Parameter'!$A:$A,0))="","WBT6",INDEX('Local Parameter'!$I:$I,MATCH("tank_ref",'Local Parameter'!$A:$A,0)))),'Tank Data'!$A:$A,0))),1025,IF(INDEX('Tank Data'!$B:$B,MATCH(IF(ISBLANK(INDEX('Local Parameter'!$I:$I,MATCH("tank_ref",'Local Parameter'!$A:$A,0))),"WBT6",IF(INDEX('Local Parameter'!$I:$I,MATCH("tank_ref",'Local Parameter'!$A:$A,0))="","WBT6",INDEX('Local Parameter'!$I:$I,MATCH("tank_ref",'Local Parameter'!$A:$A,0)))),'Tank Data'!$A:$A,0))="",1025,INDEX('Tank Data'!$B:$B,MATCH(IF(ISBLANK(INDEX('Local Parameter'!$I:$I,MATCH("tank_ref",'Local Parameter'!$A:$A,0))),"WBT6",IF(INDEX('Local Parameter'!$I:$I,MATCH("tank_ref",'Local Parameter'!$A:$A,0))="","WBT6",INDEX('Local Parameter'!$I:$I,MATCH("tank_ref",'Local Parameter'!$A:$A,0)))),'Tank Data'!$A:$A,0))))&amp;" kg/m^3"&amp;" | 成员表 Tank Data |"</f>
        <v/>
      </c>
      <c r="U3">
        <f>"| l_tank / b_tank / h_tank | "&amp;""&amp;IF(ISBLANK(INDEX('Tank Data'!$C:$C,MATCH(IF(ISBLANK(INDEX('Local Parameter'!$I:$I,MATCH("tank_ref",'Local Parameter'!$A:$A,0))),"WBT6",IF(INDEX('Local Parameter'!$I:$I,MATCH("tank_ref",'Local Parameter'!$A:$A,0))="","WBT6",INDEX('Local Parameter'!$I:$I,MATCH("tank_ref",'Local Parameter'!$A:$A,0)))),'Tank Data'!$A:$A,0))),42,IF(INDEX('Tank Data'!$C:$C,MATCH(IF(ISBLANK(INDEX('Local Parameter'!$I:$I,MATCH("tank_ref",'Local Parameter'!$A:$A,0))),"WBT6",IF(INDEX('Local Parameter'!$I:$I,MATCH("tank_ref",'Local Parameter'!$A:$A,0))="","WBT6",INDEX('Local Parameter'!$I:$I,MATCH("tank_ref",'Local Parameter'!$A:$A,0)))),'Tank Data'!$A:$A,0))="",42,INDEX('Tank Data'!$C:$C,MATCH(IF(ISBLANK(INDEX('Local Parameter'!$I:$I,MATCH("tank_ref",'Local Parameter'!$A:$A,0))),"WBT6",IF(INDEX('Local Parameter'!$I:$I,MATCH("tank_ref",'Local Parameter'!$A:$A,0))="","WBT6",INDEX('Local Parameter'!$I:$I,MATCH("tank_ref",'Local Parameter'!$A:$A,0)))),'Tank Data'!$A:$A,0))))&amp;" m"&amp;" / "&amp;""&amp;IF(ISBLANK(INDEX('Tank Data'!$D:$D,MATCH(IF(ISBLANK(INDEX('Local Parameter'!$I:$I,MATCH("tank_ref",'Local Parameter'!$A:$A,0))),"WBT6",IF(INDEX('Local Parameter'!$I:$I,MATCH("tank_ref",'Local Parameter'!$A:$A,0))="","WBT6",INDEX('Local Parameter'!$I:$I,MATCH("tank_ref",'Local Parameter'!$A:$A,0)))),'Tank Data'!$A:$A,0))),32,IF(INDEX('Tank Data'!$D:$D,MATCH(IF(ISBLANK(INDEX('Local Parameter'!$I:$I,MATCH("tank_ref",'Local Parameter'!$A:$A,0))),"WBT6",IF(INDEX('Local Parameter'!$I:$I,MATCH("tank_ref",'Local Parameter'!$A:$A,0))="","WBT6",INDEX('Local Parameter'!$I:$I,MATCH("tank_ref",'Local Parameter'!$A:$A,0)))),'Tank Data'!$A:$A,0))="",32,INDEX('Tank Data'!$D:$D,MATCH(IF(ISBLANK(INDEX('Local Parameter'!$I:$I,MATCH("tank_ref",'Local Parameter'!$A:$A,0))),"WBT6",IF(INDEX('Local Parameter'!$I:$I,MATCH("tank_ref",'Local Parameter'!$A:$A,0))="","WBT6",INDEX('Local Parameter'!$I:$I,MATCH("tank_ref",'Local Parameter'!$A:$A,0)))),'Tank Data'!$A:$A,0))))&amp;" m"&amp;" / "&amp;""&amp;IF(ISBLANK(INDEX('Tank Data'!$E:$E,MATCH(IF(ISBLANK(INDEX('Local Parameter'!$I:$I,MATCH("tank_ref",'Local Parameter'!$A:$A,0))),"WBT6",IF(INDEX('Local Parameter'!$I:$I,MATCH("tank_ref",'Local Parameter'!$A:$A,0))="","WBT6",INDEX('Local Parameter'!$I:$I,MATCH("tank_ref",'Local Parameter'!$A:$A,0)))),'Tank Data'!$A:$A,0))),32,IF(INDEX('Tank Data'!$E:$E,MATCH(IF(ISBLANK(INDEX('Local Parameter'!$I:$I,MATCH("tank_ref",'Local Parameter'!$A:$A,0))),"WBT6",IF(INDEX('Local Parameter'!$I:$I,MATCH("tank_ref",'Local Parameter'!$A:$A,0))="","WBT6",INDEX('Local Parameter'!$I:$I,MATCH("tank_ref",'Local Parameter'!$A:$A,0)))),'Tank Data'!$A:$A,0))="",32,INDEX('Tank Data'!$E:$E,MATCH(IF(ISBLANK(INDEX('Local Parameter'!$I:$I,MATCH("tank_ref",'Local Parameter'!$A:$A,0))),"WBT6",IF(INDEX('Local Parameter'!$I:$I,MATCH("tank_ref",'Local Parameter'!$A:$A,0))="","WBT6",INDEX('Local Parameter'!$I:$I,MATCH("tank_ref",'Local Parameter'!$A:$A,0)))),'Tank Data'!$A:$A,0))))&amp;" m"&amp;" | Fig. 11 |"</f>
        <v/>
      </c>
      <c r="V3">
        <f>"| eta_deck / eta_overflow | "&amp;""&amp;IF(ISBLANK(INDEX('Tank Data'!$F:$F,MATCH(IF(ISBLANK(INDEX('Local Parameter'!$I:$I,MATCH("tank_ref",'Local Parameter'!$A:$A,0))),"WBT6",IF(INDEX('Local Parameter'!$I:$I,MATCH("tank_ref",'Local Parameter'!$A:$A,0))="","WBT6",INDEX('Local Parameter'!$I:$I,MATCH("tank_ref",'Local Parameter'!$A:$A,0)))),'Tank Data'!$A:$A,0))),0,IF(INDEX('Tank Data'!$F:$F,MATCH(IF(ISBLANK(INDEX('Local Parameter'!$I:$I,MATCH("tank_ref",'Local Parameter'!$A:$A,0))),"WBT6",IF(INDEX('Local Parameter'!$I:$I,MATCH("tank_ref",'Local Parameter'!$A:$A,0))="","WBT6",INDEX('Local Parameter'!$I:$I,MATCH("tank_ref",'Local Parameter'!$A:$A,0)))),'Tank Data'!$A:$A,0))="",0,INDEX('Tank Data'!$F:$F,MATCH(IF(ISBLANK(INDEX('Local Parameter'!$I:$I,MATCH("tank_ref",'Local Parameter'!$A:$A,0))),"WBT6",IF(INDEX('Local Parameter'!$I:$I,MATCH("tank_ref",'Local Parameter'!$A:$A,0))="","WBT6",INDEX('Local Parameter'!$I:$I,MATCH("tank_ref",'Local Parameter'!$A:$A,0)))),'Tank Data'!$A:$A,0))))&amp;" m"&amp;" / "&amp;""&amp;IF(ISBLANK(INDEX('Tank Data'!$G:$G,MATCH(IF(ISBLANK(INDEX('Local Parameter'!$I:$I,MATCH("tank_ref",'Local Parameter'!$A:$A,0))),"WBT6",IF(INDEX('Local Parameter'!$I:$I,MATCH("tank_ref",'Local Parameter'!$A:$A,0))="","WBT6",INDEX('Local Parameter'!$I:$I,MATCH("tank_ref",'Local Parameter'!$A:$A,0)))),'Tank Data'!$A:$A,0))),0,IF(INDEX('Tank Data'!$G:$G,MATCH(IF(ISBLANK(INDEX('Local Parameter'!$I:$I,MATCH("tank_ref",'Local Parameter'!$A:$A,0))),"WBT6",IF(INDEX('Local Parameter'!$I:$I,MATCH("tank_ref",'Local Parameter'!$A:$A,0))="","WBT6",INDEX('Local Parameter'!$I:$I,MATCH("tank_ref",'Local Parameter'!$A:$A,0)))),'Tank Data'!$A:$A,0))="",0,INDEX('Tank Data'!$G:$G,MATCH(IF(ISBLANK(INDEX('Local Parameter'!$I:$I,MATCH("tank_ref",'Local Parameter'!$A:$A,0))),"WBT6",IF(INDEX('Local Parameter'!$I:$I,MATCH("tank_ref",'Local Parameter'!$A:$A,0))="","WBT6",INDEX('Local Parameter'!$I:$I,MATCH("tank_ref",'Local Parameter'!$A:$A,0)))),'Tank Data'!$A:$A,0))))&amp;" m"&amp;" | Fig. 12 |"</f>
        <v/>
      </c>
      <c r="W3">
        <f>"| C_dp / C_ru | "&amp;""&amp;IF(ISBLANK(INDEX('Tank Data'!$H:$H,MATCH(IF(ISBLANK(INDEX('Local Parameter'!$I:$I,MATCH("tank_ref",'Local Parameter'!$A:$A,0))),"WBT6",IF(INDEX('Local Parameter'!$I:$I,MATCH("tank_ref",'Local Parameter'!$A:$A,0))="","WBT6",INDEX('Local Parameter'!$I:$I,MATCH("tank_ref",'Local Parameter'!$A:$A,0)))),'Tank Data'!$A:$A,0))),1,IF(INDEX('Tank Data'!$H:$H,MATCH(IF(ISBLANK(INDEX('Local Parameter'!$I:$I,MATCH("tank_ref",'Local Parameter'!$A:$A,0))),"WBT6",IF(INDEX('Local Parameter'!$I:$I,MATCH("tank_ref",'Local Parameter'!$A:$A,0))="","WBT6",INDEX('Local Parameter'!$I:$I,MATCH("tank_ref",'Local Parameter'!$A:$A,0)))),'Tank Data'!$A:$A,0))="",1,INDEX('Tank Data'!$H:$H,MATCH(IF(ISBLANK(INDEX('Local Parameter'!$I:$I,MATCH("tank_ref",'Local Parameter'!$A:$A,0))),"WBT6",IF(INDEX('Local Parameter'!$I:$I,MATCH("tank_ref",'Local Parameter'!$A:$A,0))="","WBT6",INDEX('Local Parameter'!$I:$I,MATCH("tank_ref",'Local Parameter'!$A:$A,0)))),'Tank Data'!$A:$A,0))))&amp;""&amp;" / "&amp;""&amp;IF(ISBLANK(INDEX('Tank Data'!$I:$I,MATCH(IF(ISBLANK(INDEX('Local Parameter'!$I:$I,MATCH("tank_ref",'Local Parameter'!$A:$A,0))),"WBT6",IF(INDEX('Local Parameter'!$I:$I,MATCH("tank_ref",'Local Parameter'!$A:$A,0))="","WBT6",INDEX('Local Parameter'!$I:$I,MATCH("tank_ref",'Local Parameter'!$A:$A,0)))),'Tank Data'!$A:$A,0))),1,IF(INDEX('Tank Data'!$I:$I,MATCH(IF(ISBLANK(INDEX('Local Parameter'!$I:$I,MATCH("tank_ref",'Local Parameter'!$A:$A,0))),"WBT6",IF(INDEX('Local Parameter'!$I:$I,MATCH("tank_ref",'Local Parameter'!$A:$A,0))="","WBT6",INDEX('Local Parameter'!$I:$I,MATCH("tank_ref",'Local Parameter'!$A:$A,0)))),'Tank Data'!$A:$A,0))="",1,INDEX('Tank Data'!$I:$I,MATCH(IF(ISBLANK(INDEX('Local Parameter'!$I:$I,MATCH("tank_ref",'Local Parameter'!$A:$A,0))),"WBT6",IF(INDEX('Local Parameter'!$I:$I,MATCH("tank_ref",'Local Parameter'!$A:$A,0))="","WBT6",INDEX('Local Parameter'!$I:$I,MATCH("tank_ref",'Local Parameter'!$A:$A,0)))),'Tank Data'!$A:$A,0))))&amp;""&amp;" | 5.7.2(d) |"</f>
        <v/>
      </c>
      <c r="X3">
        <f>"| p_vp | "&amp;""&amp;IF(ISBLANK(INDEX('Tank Data'!$J:$J,MATCH(IF(ISBLANK(INDEX('Local Parameter'!$I:$I,MATCH("tank_ref",'Local Parameter'!$A:$A,0))),"WBT6",IF(INDEX('Local Parameter'!$I:$I,MATCH("tank_ref",'Local Parameter'!$A:$A,0))="","WBT6",INDEX('Local Parameter'!$I:$I,MATCH("tank_ref",'Local Parameter'!$A:$A,0)))),'Tank Data'!$A:$A,0))),0,IF(INDEX('Tank Data'!$J:$J,MATCH(IF(ISBLANK(INDEX('Local Parameter'!$I:$I,MATCH("tank_ref",'Local Parameter'!$A:$A,0))),"WBT6",IF(INDEX('Local Parameter'!$I:$I,MATCH("tank_ref",'Local Parameter'!$A:$A,0))="","WBT6",INDEX('Local Parameter'!$I:$I,MATCH("tank_ref",'Local Parameter'!$A:$A,0)))),'Tank Data'!$A:$A,0))="",0,INDEX('Tank Data'!$J:$J,MATCH(IF(ISBLANK(INDEX('Local Parameter'!$I:$I,MATCH("tank_ref",'Local Parameter'!$A:$A,0))),"WBT6",IF(INDEX('Local Parameter'!$I:$I,MATCH("tank_ref",'Local Parameter'!$A:$A,0))="","WBT6",INDEX('Local Parameter'!$I:$I,MATCH("tank_ref",'Local Parameter'!$A:$A,0)))),'Tank Data'!$A:$A,0))))&amp;" N/cm^2"&amp;" | 成员表 Tank Data |"</f>
        <v/>
      </c>
      <c r="Y3">
        <f>"| GM_full_in / k_r_in | "&amp;""&amp;IF(ISBLANK(INDEX('Tank Data'!$K:$K,MATCH(IF(ISBLANK(INDEX('Local Parameter'!$I:$I,MATCH("tank_ref",'Local Parameter'!$A:$A,0))),"WBT6",IF(INDEX('Local Parameter'!$I:$I,MATCH("tank_ref",'Local Parameter'!$A:$A,0))="","WBT6",INDEX('Local Parameter'!$I:$I,MATCH("tank_ref",'Local Parameter'!$A:$A,0)))),'Tank Data'!$A:$A,0))),0,IF(INDEX('Tank Data'!$K:$K,MATCH(IF(ISBLANK(INDEX('Local Parameter'!$I:$I,MATCH("tank_ref",'Local Parameter'!$A:$A,0))),"WBT6",IF(INDEX('Local Parameter'!$I:$I,MATCH("tank_ref",'Local Parameter'!$A:$A,0))="","WBT6",INDEX('Local Parameter'!$I:$I,MATCH("tank_ref",'Local Parameter'!$A:$A,0)))),'Tank Data'!$A:$A,0))="",0,INDEX('Tank Data'!$K:$K,MATCH(IF(ISBLANK(INDEX('Local Parameter'!$I:$I,MATCH("tank_ref",'Local Parameter'!$A:$A,0))),"WBT6",IF(INDEX('Local Parameter'!$I:$I,MATCH("tank_ref",'Local Parameter'!$A:$A,0))="","WBT6",INDEX('Local Parameter'!$I:$I,MATCH("tank_ref",'Local Parameter'!$A:$A,0)))),'Tank Data'!$A:$A,0))))&amp;" m"&amp;" / "&amp;""&amp;IF(ISBLANK(INDEX('Tank Data'!$L:$L,MATCH(IF(ISBLANK(INDEX('Local Parameter'!$I:$I,MATCH("tank_ref",'Local Parameter'!$A:$A,0))),"WBT6",IF(INDEX('Local Parameter'!$I:$I,MATCH("tank_ref",'Local Parameter'!$A:$A,0))="","WBT6",INDEX('Local Parameter'!$I:$I,MATCH("tank_ref",'Local Parameter'!$A:$A,0)))),'Tank Data'!$A:$A,0))),0,IF(INDEX('Tank Data'!$L:$L,MATCH(IF(ISBLANK(INDEX('Local Parameter'!$I:$I,MATCH("tank_ref",'Local Parameter'!$A:$A,0))),"WBT6",IF(INDEX('Local Parameter'!$I:$I,MATCH("tank_ref",'Local Parameter'!$A:$A,0))="","WBT6",INDEX('Local Parameter'!$I:$I,MATCH("tank_ref",'Local Parameter'!$A:$A,0)))),'Tank Data'!$A:$A,0))="",0,INDEX('Tank Data'!$L:$L,MATCH(IF(ISBLANK(INDEX('Local Parameter'!$I:$I,MATCH("tank_ref",'Local Parameter'!$A:$A,0))),"WBT6",IF(INDEX('Local Parameter'!$I:$I,MATCH("tank_ref",'Local Parameter'!$A:$A,0))="","WBT6",INDEX('Local Parameter'!$I:$I,MATCH("tank_ref",'Local Parameter'!$A:$A,0)))),'Tank Data'!$A:$A,0))))&amp;" m"&amp;" | 稳性计算书 |"</f>
        <v/>
      </c>
      <c r="Z3">
        <f>"| tank_is_ballast / member_11_17 | "&amp;""&amp;IF(ISBLANK(INDEX('Tank Data'!$M:$M,MATCH(IF(ISBLANK(INDEX('Local Parameter'!$I:$I,MATCH("tank_ref",'Local Parameter'!$A:$A,0))),"WBT6",IF(INDEX('Local Parameter'!$I:$I,MATCH("tank_ref",'Local Parameter'!$A:$A,0))="","WBT6",INDEX('Local Parameter'!$I:$I,MATCH("tank_ref",'Local Parameter'!$A:$A,0)))),'Tank Data'!$A:$A,0))),1,IF(INDEX('Tank Data'!$M:$M,MATCH(IF(ISBLANK(INDEX('Local Parameter'!$I:$I,MATCH("tank_ref",'Local Parameter'!$A:$A,0))),"WBT6",IF(INDEX('Local Parameter'!$I:$I,MATCH("tank_ref",'Local Parameter'!$A:$A,0))="","WBT6",INDEX('Local Parameter'!$I:$I,MATCH("tank_ref",'Local Parameter'!$A:$A,0)))),'Tank Data'!$A:$A,0))="",1,INDEX('Tank Data'!$M:$M,MATCH(IF(ISBLANK(INDEX('Local Parameter'!$I:$I,MATCH("tank_ref",'Local Parameter'!$A:$A,0))),"WBT6",IF(INDEX('Local Parameter'!$I:$I,MATCH("tank_ref",'Local Parameter'!$A:$A,0))="","WBT6",INDEX('Local Parameter'!$I:$I,MATCH("tank_ref",'Local Parameter'!$A:$A,0)))),'Tank Data'!$A:$A,0))))&amp;""&amp;" / "&amp;""&amp;IF(ISBLANK(INDEX('Tank Data'!$N:$N,MATCH(IF(ISBLANK(INDEX('Local Parameter'!$I:$I,MATCH("tank_ref",'Local Parameter'!$A:$A,0))),"WBT6",IF(INDEX('Local Parameter'!$I:$I,MATCH("tank_ref",'Local Parameter'!$A:$A,0))="","WBT6",INDEX('Local Parameter'!$I:$I,MATCH("tank_ref",'Local Parameter'!$A:$A,0)))),'Tank Data'!$A:$A,0))),0,IF(INDEX('Tank Data'!$N:$N,MATCH(IF(ISBLANK(INDEX('Local Parameter'!$I:$I,MATCH("tank_ref",'Local Parameter'!$A:$A,0))),"WBT6",IF(INDEX('Local Parameter'!$I:$I,MATCH("tank_ref",'Local Parameter'!$A:$A,0))="","WBT6",INDEX('Local Parameter'!$I:$I,MATCH("tank_ref",'Local Parameter'!$A:$A,0)))),'Tank Data'!$A:$A,0))="",0,INDEX('Tank Data'!$N:$N,MATCH(IF(ISBLANK(INDEX('Local Parameter'!$I:$I,MATCH("tank_ref",'Local Parameter'!$A:$A,0))),"WBT6",IF(INDEX('Local Parameter'!$I:$I,MATCH("tank_ref",'Local Parameter'!$A:$A,0))="","WBT6",INDEX('Local Parameter'!$I:$I,MATCH("tank_ref",'Local Parameter'!$A:$A,0)))),'Tank Data'!$A:$A,0))))&amp;""&amp;" | Table 3 |"</f>
        <v/>
      </c>
      <c r="AA3">
        <f>"| L / B / D / d_f | "&amp;IF(ISBLANK(INDEX('Global Parameter'!$D:$D,MATCH("L",'Global Parameter'!$A:$A,0))),"",INDEX('Global Parameter'!$D:$D,MATCH("L",'Global Parameter'!$A:$A,0)))&amp;IF(ISBLANK(INDEX('Global Parameter'!$B:$B,MATCH("L",'Global Parameter'!$A:$A,0))),340,IF(INDEX('Global Parameter'!$B:$B,MATCH("L",'Global Parameter'!$A:$A,0))="",340,INDEX('Global Parameter'!$B:$B,MATCH("L",'Global Parameter'!$A:$A,0))))&amp;IF(ISBLANK(INDEX('Global Parameter'!$E:$E,MATCH("L",'Global Parameter'!$A:$A,0)))," m",IF(INDEX('Global Parameter'!$E:$E,MATCH("L",'Global Parameter'!$A:$A,0))=""," m",INDEX('Global Parameter'!$E:$E,MATCH("L",'Global Parameter'!$A:$A,0))))&amp;" / "&amp;IF(ISBLANK(INDEX('Global Parameter'!$D:$D,MATCH("B",'Global Parameter'!$A:$A,0))),"",INDEX('Global Parameter'!$D:$D,MATCH("B",'Global Parameter'!$A:$A,0)))&amp;IF(ISBLANK(INDEX('Global Parameter'!$B:$B,MATCH("B",'Global Parameter'!$A:$A,0))),64,IF(INDEX('Global Parameter'!$B:$B,MATCH("B",'Global Parameter'!$A:$A,0))="",64,INDEX('Global Parameter'!$B:$B,MATCH("B",'Global Parameter'!$A:$A,0))))&amp;IF(ISBLANK(INDEX('Global Parameter'!$E:$E,MATCH("B",'Global Parameter'!$A:$A,0)))," m",IF(INDEX('Global Parameter'!$E:$E,MATCH("B",'Global Parameter'!$A:$A,0))=""," m",INDEX('Global Parameter'!$E:$E,MATCH("B",'Global Parameter'!$A:$A,0))))&amp;" / "&amp;IF(ISBLANK(INDEX('Global Parameter'!$D:$D,MATCH("D",'Global Parameter'!$A:$A,0))),"",INDEX('Global Parameter'!$D:$D,MATCH("D",'Global Parameter'!$A:$A,0)))&amp;IF(ISBLANK(INDEX('Global Parameter'!$B:$B,MATCH("D",'Global Parameter'!$A:$A,0))),32,IF(INDEX('Global Parameter'!$B:$B,MATCH("D",'Global Parameter'!$A:$A,0))="",32,INDEX('Global Parameter'!$B:$B,MATCH("D",'Global Parameter'!$A:$A,0))))&amp;IF(ISBLANK(INDEX('Global Parameter'!$E:$E,MATCH("D",'Global Parameter'!$A:$A,0)))," m",IF(INDEX('Global Parameter'!$E:$E,MATCH("D",'Global Parameter'!$A:$A,0))=""," m",INDEX('Global Parameter'!$E:$E,MATCH("D",'Global Parameter'!$A:$A,0))))&amp;" / "&amp;IF(ISBLANK(INDEX('Global Parameter'!$D:$D,MATCH("d_f",'Global Parameter'!$A:$A,0))),"",INDEX('Global Parameter'!$D:$D,MATCH("d_f",'Global Parameter'!$A:$A,0)))&amp;IF(ISBLANK(INDEX('Global Parameter'!$B:$B,MATCH("d_f",'Global Parameter'!$A:$A,0))),20.559,IF(INDEX('Global Parameter'!$B:$B,MATCH("d_f",'Global Parameter'!$A:$A,0))="",20.559,INDEX('Global Parameter'!$B:$B,MATCH("d_f",'Global Parameter'!$A:$A,0))))&amp;IF(ISBLANK(INDEX('Global Parameter'!$E:$E,MATCH("d_f",'Global Parameter'!$A:$A,0)))," m",IF(INDEX('Global Parameter'!$E:$E,MATCH("d_f",'Global Parameter'!$A:$A,0))=""," m",INDEX('Global Parameter'!$E:$E,MATCH("d_f",'Global Parameter'!$A:$A,0))))&amp;" | 3-1-1/3 |"</f>
        <v/>
      </c>
      <c r="AB3">
        <f>"| rho_sea / g / Cb | "&amp;IF(ISBLANK(INDEX('Global Parameter'!$D:$D,MATCH("rho_sea",'Global Parameter'!$A:$A,0))),"",INDEX('Global Parameter'!$D:$D,MATCH("rho_sea",'Global Parameter'!$A:$A,0)))&amp;IF(ISBLANK(INDEX('Global Parameter'!$B:$B,MATCH("rho_sea",'Global Parameter'!$A:$A,0))),1025,IF(INDEX('Global Parameter'!$B:$B,MATCH("rho_sea",'Global Parameter'!$A:$A,0))="",1025,INDEX('Global Parameter'!$B:$B,MATCH("rho_sea",'Global Parameter'!$A:$A,0))))&amp;IF(ISBLANK(INDEX('Global Parameter'!$E:$E,MATCH("rho_sea",'Global Parameter'!$A:$A,0)))," kg/m^3",IF(INDEX('Global Parameter'!$E:$E,MATCH("rho_sea",'Global Parameter'!$A:$A,0))=""," kg/m^3",INDEX('Global Parameter'!$E:$E,MATCH("rho_sea",'Global Parameter'!$A:$A,0))))&amp;" / "&amp;IF(ISBLANK(INDEX('Global Parameter'!$D:$D,MATCH("g",'Global Parameter'!$A:$A,0))),"",INDEX('Global Parameter'!$D:$D,MATCH("g",'Global Parameter'!$A:$A,0)))&amp;IF(ISBLANK(INDEX('Global Parameter'!$B:$B,MATCH("g",'Global Parameter'!$A:$A,0))),9.81,IF(INDEX('Global Parameter'!$B:$B,MATCH("g",'Global Parameter'!$A:$A,0))="",9.81,INDEX('Global Parameter'!$B:$B,MATCH("g",'Global Parameter'!$A:$A,0))))&amp;IF(ISBLANK(INDEX('Global Parameter'!$E:$E,MATCH("g",'Global Parameter'!$A:$A,0)))," m/s^2",IF(INDEX('Global Parameter'!$E:$E,MATCH("g",'Global Parameter'!$A:$A,0))=""," m/s^2",INDEX('Global Parameter'!$E:$E,MATCH("g",'Global Parameter'!$A:$A,0))))&amp;" / "&amp;IF(ISBLANK(INDEX('Global Parameter'!$D:$D,MATCH("Cb",'Global Parameter'!$A:$A,0))),"",INDEX('Global Parameter'!$D:$D,MATCH("Cb",'Global Parameter'!$A:$A,0)))&amp;IF(ISBLANK(INDEX('Global Parameter'!$B:$B,MATCH("Cb",'Global Parameter'!$A:$A,0))),1,IF(INDEX('Global Parameter'!$B:$B,MATCH("Cb",'Global Parameter'!$A:$A,0))="",1,INDEX('Global Parameter'!$B:$B,MATCH("Cb",'Global Parameter'!$A:$A,0))))&amp;IF(ISBLANK(INDEX('Global Parameter'!$E:$E,MATCH("Cb",'Global Parameter'!$A:$A,0))),"",INDEX('Global Parameter'!$E:$E,MATCH("Cb",'Global Parameter'!$A:$A,0)))&amp;" | 5.7.1 |"</f>
        <v/>
      </c>
      <c r="AC3">
        <f>"| rho_g_lo / rho_g_hi | "&amp;IF(ISBLANK(INDEX('Global Parameter'!$D:$D,MATCH("rho_g_lo",'Global Parameter'!$A:$A,0))),"",INDEX('Global Parameter'!$D:$D,MATCH("rho_g_lo",'Global Parameter'!$A:$A,0)))&amp;IF(ISBLANK(INDEX('Global Parameter'!$B:$B,MATCH("rho_g_lo",'Global Parameter'!$A:$A,0))),10050,IF(INDEX('Global Parameter'!$B:$B,MATCH("rho_g_lo",'Global Parameter'!$A:$A,0))="",10050,INDEX('Global Parameter'!$B:$B,MATCH("rho_g_lo",'Global Parameter'!$A:$A,0))))&amp;IF(ISBLANK(INDEX('Global Parameter'!$E:$E,MATCH("rho_g_lo",'Global Parameter'!$A:$A,0)))," N/m^3",IF(INDEX('Global Parameter'!$E:$E,MATCH("rho_g_lo",'Global Parameter'!$A:$A,0))=""," N/m^3",INDEX('Global Parameter'!$E:$E,MATCH("rho_g_lo",'Global Parameter'!$A:$A,0))))&amp;" / "&amp;IF(ISBLANK(INDEX('Global Parameter'!$D:$D,MATCH("rho_g_hi",'Global Parameter'!$A:$A,0))),"",INDEX('Global Parameter'!$D:$D,MATCH("rho_g_hi",'Global Parameter'!$A:$A,0)))&amp;IF(ISBLANK(INDEX('Global Parameter'!$B:$B,MATCH("rho_g_hi",'Global Parameter'!$A:$A,0))),11180,IF(INDEX('Global Parameter'!$B:$B,MATCH("rho_g_hi",'Global Parameter'!$A:$A,0))="",11180,INDEX('Global Parameter'!$B:$B,MATCH("rho_g_hi",'Global Parameter'!$A:$A,0))))&amp;IF(ISBLANK(INDEX('Global Parameter'!$E:$E,MATCH("rho_g_hi",'Global Parameter'!$A:$A,0)))," N/m^3",IF(INDEX('Global Parameter'!$E:$E,MATCH("rho_g_hi",'Global Parameter'!$A:$A,0))=""," N/m^3",INDEX('Global Parameter'!$E:$E,MATCH("rho_g_hi",'Global Parameter'!$A:$A,0))))&amp;" | 5.7.2(a) |"</f>
        <v/>
      </c>
      <c r="AD3">
        <f>"| axis ax | ("&amp;IF(ISBLANK(INDEX('Global Parameter'!$D:$D,MATCH("ax_x",'Global Parameter'!$A:$A,0))),"",INDEX('Global Parameter'!$D:$D,MATCH("ax_x",'Global Parameter'!$A:$A,0)))&amp;IF(ISBLANK(INDEX('Global Parameter'!$B:$B,MATCH("ax_x",'Global Parameter'!$A:$A,0))),"1",IF(INDEX('Global Parameter'!$B:$B,MATCH("ax_x",'Global Parameter'!$A:$A,0))="","1",INDEX('Global Parameter'!$B:$B,MATCH("ax_x",'Global Parameter'!$A:$A,0))))&amp;IF(ISBLANK(INDEX('Global Parameter'!$E:$E,MATCH("ax_x",'Global Parameter'!$A:$A,0))),"",INDEX('Global Parameter'!$E:$E,MATCH("ax_x",'Global Parameter'!$A:$A,0)))&amp;", "&amp;IF(ISBLANK(INDEX('Global Parameter'!$D:$D,MATCH("ax_y",'Global Parameter'!$A:$A,0))),"",INDEX('Global Parameter'!$D:$D,MATCH("ax_y",'Global Parameter'!$A:$A,0)))&amp;IF(ISBLANK(INDEX('Global Parameter'!$B:$B,MATCH("ax_y",'Global Parameter'!$A:$A,0))),"2",IF(INDEX('Global Parameter'!$B:$B,MATCH("ax_y",'Global Parameter'!$A:$A,0))="","2",INDEX('Global Parameter'!$B:$B,MATCH("ax_y",'Global Parameter'!$A:$A,0))))&amp;IF(ISBLANK(INDEX('Global Parameter'!$E:$E,MATCH("ax_y",'Global Parameter'!$A:$A,0))),"",INDEX('Global Parameter'!$E:$E,MATCH("ax_y",'Global Parameter'!$A:$A,0)))&amp;", "&amp;IF(ISBLANK(INDEX('Global Parameter'!$D:$D,MATCH("ax_z",'Global Parameter'!$A:$A,0))),"",INDEX('Global Parameter'!$D:$D,MATCH("ax_z",'Global Parameter'!$A:$A,0)))&amp;IF(ISBLANK(INDEX('Global Parameter'!$B:$B,MATCH("ax_z",'Global Parameter'!$A:$A,0))),"3",IF(INDEX('Global Parameter'!$B:$B,MATCH("ax_z",'Global Parameter'!$A:$A,0))="","3",INDEX('Global Parameter'!$B:$B,MATCH("ax_z",'Global Parameter'!$A:$A,0))))&amp;IF(ISBLANK(INDEX('Global Parameter'!$E:$E,MATCH("ax_z",'Global Parameter'!$A:$A,0))),"",INDEX('Global Parameter'!$E:$E,MATCH("ax_z",'Global Parameter'!$A:$A,0)))&amp;") | 模型 |"</f>
        <v/>
      </c>
      <c r="AE3">
        <f>"| axis neg | ("&amp;IF(ISBLANK(INDEX('Global Parameter'!$D:$D,MATCH("neg_x",'Global Parameter'!$A:$A,0))),"",INDEX('Global Parameter'!$D:$D,MATCH("neg_x",'Global Parameter'!$A:$A,0)))&amp;IF(ISBLANK(INDEX('Global Parameter'!$B:$B,MATCH("neg_x",'Global Parameter'!$A:$A,0))),"",INDEX('Global Parameter'!$B:$B,MATCH("neg_x",'Global Parameter'!$A:$A,0)))&amp;IF(ISBLANK(INDEX('Global Parameter'!$E:$E,MATCH("neg_x",'Global Parameter'!$A:$A,0))),"",INDEX('Global Parameter'!$E:$E,MATCH("neg_x",'Global Parameter'!$A:$A,0)))&amp;" / "&amp;IF(ISBLANK(INDEX('Global Parameter'!$D:$D,MATCH("neg_y",'Global Parameter'!$A:$A,0))),"",INDEX('Global Parameter'!$D:$D,MATCH("neg_y",'Global Parameter'!$A:$A,0)))&amp;IF(ISBLANK(INDEX('Global Parameter'!$B:$B,MATCH("neg_y",'Global Parameter'!$A:$A,0))),"",INDEX('Global Parameter'!$B:$B,MATCH("neg_y",'Global Parameter'!$A:$A,0)))&amp;IF(ISBLANK(INDEX('Global Parameter'!$E:$E,MATCH("neg_y",'Global Parameter'!$A:$A,0))),"",INDEX('Global Parameter'!$E:$E,MATCH("neg_y",'Global Parameter'!$A:$A,0)))&amp;" / "&amp;IF(ISBLANK(INDEX('Global Parameter'!$D:$D,MATCH("neg_z",'Global Parameter'!$A:$A,0))),"",INDEX('Global Parameter'!$D:$D,MATCH("neg_z",'Global Parameter'!$A:$A,0)))&amp;IF(ISBLANK(INDEX('Global Parameter'!$B:$B,MATCH("neg_z",'Global Parameter'!$A:$A,0))),"",INDEX('Global Parameter'!$B:$B,MATCH("neg_z",'Global Parameter'!$A:$A,0)))&amp;IF(ISBLANK(INDEX('Global Parameter'!$E:$E,MATCH("neg_z",'Global Parameter'!$A:$A,0))),"",INDEX('Global Parameter'!$E:$E,MATCH("neg_z",'Global Parameter'!$A:$A,0)))&amp;") | 模型 |"</f>
        <v/>
      </c>
    </row>
    <row r="4">
      <c r="A4" s="19" t="inlineStr">
        <is>
          <t>WBT7-d20.559-mu90</t>
        </is>
      </c>
      <c r="B4">
        <f>"| 项目 | 值 | 出处 |"</f>
        <v/>
      </c>
      <c r="C4">
        <f>"| --- | --- | --- |"</f>
        <v/>
      </c>
      <c r="D4">
        <f>"| case_name | "&amp;'Local Parameter'!$J$1&amp;" | 工况名（Excel 表头） |"</f>
        <v/>
      </c>
      <c r="E4">
        <f>"| kind | "&amp;IF(ISBLANK(INDEX('Local Parameter'!$C:$C,MATCH("kind",'Local Parameter'!$A:$A,0))),"",INDEX('Local Parameter'!$C:$C,MATCH("kind",'Local Parameter'!$A:$A,0)))&amp;IF(ISBLANK(INDEX('Local Parameter'!$J:$J,MATCH("kind",'Local Parameter'!$A:$A,0))),"EXT",IF(INDEX('Local Parameter'!$J:$J,MATCH("kind",'Local Parameter'!$A:$A,0))="","EXT",INDEX('Local Parameter'!$J:$J,MATCH("kind",'Local Parameter'!$A:$A,0))))&amp;IF(ISBLANK(INDEX('Local Parameter'!$D:$D,MATCH("kind",'Local Parameter'!$A:$A,0))),"",INDEX('Local Parameter'!$D:$D,MATCH("kind",'Local Parameter'!$A:$A,0)))&amp;" | 规则集（多规则集共用一本工作簿时用 case_filter 分流） |"</f>
        <v/>
      </c>
      <c r="F4">
        <f>"| tank_ref | "&amp;IF(ISBLANK(INDEX('Local Parameter'!$C:$C,MATCH("tank_ref",'Local Parameter'!$A:$A,0))),"",INDEX('Local Parameter'!$C:$C,MATCH("tank_ref",'Local Parameter'!$A:$A,0)))&amp;IF(ISBLANK(INDEX('Local Parameter'!$J:$J,MATCH("tank_ref",'Local Parameter'!$A:$A,0))),"WBT6",IF(INDEX('Local Parameter'!$J:$J,MATCH("tank_ref",'Local Parameter'!$A:$A,0))="","WBT6",INDEX('Local Parameter'!$J:$J,MATCH("tank_ref",'Local Parameter'!$A:$A,0))))&amp;IF(ISBLANK(INDEX('Local Parameter'!$D:$D,MATCH("tank_ref",'Local Parameter'!$A:$A,0))),"",INDEX('Local Parameter'!$D:$D,MATCH("tank_ref",'Local Parameter'!$A:$A,0)))&amp;" | 指向成员表 `Tank Data` 的哪一行（指南 §18） |"</f>
        <v/>
      </c>
      <c r="G4">
        <f>"| draft | "&amp;IF(ISBLANK(INDEX('Local Parameter'!$C:$C,MATCH("draft",'Local Parameter'!$A:$A,0))),"",INDEX('Local Parameter'!$C:$C,MATCH("draft",'Local Parameter'!$A:$A,0)))&amp;IF(ISBLANK(INDEX('Local Parameter'!$J:$J,MATCH("draft",'Local Parameter'!$A:$A,0))),20.559,IF(INDEX('Local Parameter'!$J:$J,MATCH("draft",'Local Parameter'!$A:$A,0))="",20.559,INDEX('Local Parameter'!$J:$J,MATCH("draft",'Local Parameter'!$A:$A,0))))&amp;IF(ISBLANK(INDEX('Local Parameter'!$D:$D,MATCH("draft",'Local Parameter'!$A:$A,0)))," m",IF(INDEX('Local Parameter'!$D:$D,MATCH("draft",'Local Parameter'!$A:$A,0))=""," m",INDEX('Local Parameter'!$D:$D,MATCH("draft",'Local Parameter'!$A:$A,0))))&amp;" | 装载工况 |"</f>
        <v/>
      </c>
      <c r="H4">
        <f>"| mu_deg | "&amp;IF(ISBLANK(INDEX('Local Parameter'!$C:$C,MATCH("mu_deg",'Local Parameter'!$A:$A,0))),"",INDEX('Local Parameter'!$C:$C,MATCH("mu_deg",'Local Parameter'!$A:$A,0)))&amp;IF(ISBLANK(INDEX('Local Parameter'!$J:$J,MATCH("mu_deg",'Local Parameter'!$A:$A,0))),90,IF(INDEX('Local Parameter'!$J:$J,MATCH("mu_deg",'Local Parameter'!$A:$A,0))="",90,INDEX('Local Parameter'!$J:$J,MATCH("mu_deg",'Local Parameter'!$A:$A,0))))&amp;IF(ISBLANK(INDEX('Local Parameter'!$D:$D,MATCH("mu_deg",'Local Parameter'!$A:$A,0)))," deg",IF(INDEX('Local Parameter'!$D:$D,MATCH("mu_deg",'Local Parameter'!$A:$A,0))=""," deg",INDEX('Local Parameter'!$D:$D,MATCH("mu_deg",'Local Parameter'!$A:$A,0))))&amp;" | Table 1A D |"</f>
        <v/>
      </c>
      <c r="I4">
        <f>"| k_c | "&amp;IF(ISBLANK(INDEX('Local Parameter'!$C:$C,MATCH("k_c",'Local Parameter'!$A:$A,0))),"",INDEX('Local Parameter'!$C:$C,MATCH("k_c",'Local Parameter'!$A:$A,0)))&amp;IF(ISBLANK(INDEX('Local Parameter'!$J:$J,MATCH("k_c",'Local Parameter'!$A:$A,0))),1,IF(INDEX('Local Parameter'!$J:$J,MATCH("k_c",'Local Parameter'!$A:$A,0))="",1,INDEX('Local Parameter'!$J:$J,MATCH("k_c",'Local Parameter'!$A:$A,0))))&amp;IF(ISBLANK(INDEX('Local Parameter'!$D:$D,MATCH("k_c",'Local Parameter'!$A:$A,0))),"",INDEX('Local Parameter'!$D:$D,MATCH("k_c",'Local Parameter'!$A:$A,0)))&amp;" | Table 1A C |"</f>
        <v/>
      </c>
      <c r="J4">
        <f>"| k_u | "&amp;IF(ISBLANK(INDEX('Local Parameter'!$C:$C,MATCH("k_u",'Local Parameter'!$A:$A,0))),"",INDEX('Local Parameter'!$C:$C,MATCH("k_u",'Local Parameter'!$A:$A,0)))&amp;IF(ISBLANK(INDEX('Local Parameter'!$J:$J,MATCH("k_u",'Local Parameter'!$A:$A,0))),1.1,IF(INDEX('Local Parameter'!$J:$J,MATCH("k_u",'Local Parameter'!$A:$A,0))="",1.1,INDEX('Local Parameter'!$J:$J,MATCH("k_u",'Local Parameter'!$A:$A,0))))&amp;IF(ISBLANK(INDEX('Local Parameter'!$D:$D,MATCH("k_u",'Local Parameter'!$A:$A,0))),"",INDEX('Local Parameter'!$D:$D,MATCH("k_u",'Local Parameter'!$A:$A,0)))&amp;" | 5A-3-2/7, /9 |"</f>
        <v/>
      </c>
      <c r="K4">
        <f>"| beta_VAC | "&amp;IF(ISBLANK(INDEX('Local Parameter'!$C:$C,MATCH("beta_VAC",'Local Parameter'!$A:$A,0))),"",INDEX('Local Parameter'!$C:$C,MATCH("beta_VAC",'Local Parameter'!$A:$A,0)))&amp;IF(ISBLANK(INDEX('Local Parameter'!$J:$J,MATCH("beta_VAC",'Local Parameter'!$A:$A,0))),0.66,IF(INDEX('Local Parameter'!$J:$J,MATCH("beta_VAC",'Local Parameter'!$A:$A,0))="",0.66,INDEX('Local Parameter'!$J:$J,MATCH("beta_VAC",'Local Parameter'!$A:$A,0))))&amp;IF(ISBLANK(INDEX('Local Parameter'!$D:$D,MATCH("beta_VAC",'Local Parameter'!$A:$A,0))),"",INDEX('Local Parameter'!$D:$D,MATCH("beta_VAC",'Local Parameter'!$A:$A,0)))&amp;" | 5A-3-A1/3 |"</f>
        <v/>
      </c>
      <c r="L4">
        <f>"| beta_LAC | "&amp;IF(ISBLANK(INDEX('Local Parameter'!$C:$C,MATCH("beta_LAC",'Local Parameter'!$A:$A,0))),"",INDEX('Local Parameter'!$C:$C,MATCH("beta_LAC",'Local Parameter'!$A:$A,0)))&amp;IF(ISBLANK(INDEX('Local Parameter'!$J:$J,MATCH("beta_LAC",'Local Parameter'!$A:$A,0))),0.758,IF(INDEX('Local Parameter'!$J:$J,MATCH("beta_LAC",'Local Parameter'!$A:$A,0))="",0.758,INDEX('Local Parameter'!$J:$J,MATCH("beta_LAC",'Local Parameter'!$A:$A,0))))&amp;IF(ISBLANK(INDEX('Local Parameter'!$D:$D,MATCH("beta_LAC",'Local Parameter'!$A:$A,0))),"",INDEX('Local Parameter'!$D:$D,MATCH("beta_LAC",'Local Parameter'!$A:$A,0)))&amp;" | 5A-3-A1/3 |"</f>
        <v/>
      </c>
      <c r="M4">
        <f>"| beta_TAC | "&amp;IF(ISBLANK(INDEX('Local Parameter'!$C:$C,MATCH("beta_TAC",'Local Parameter'!$A:$A,0))),"",INDEX('Local Parameter'!$C:$C,MATCH("beta_TAC",'Local Parameter'!$A:$A,0)))&amp;IF(ISBLANK(INDEX('Local Parameter'!$J:$J,MATCH("beta_TAC",'Local Parameter'!$A:$A,0))),0.557,IF(INDEX('Local Parameter'!$J:$J,MATCH("beta_TAC",'Local Parameter'!$A:$A,0))="",0.557,INDEX('Local Parameter'!$J:$J,MATCH("beta_TAC",'Local Parameter'!$A:$A,0))))&amp;IF(ISBLANK(INDEX('Local Parameter'!$D:$D,MATCH("beta_TAC",'Local Parameter'!$A:$A,0))),"",INDEX('Local Parameter'!$D:$D,MATCH("beta_TAC",'Local Parameter'!$A:$A,0)))&amp;" | 5A-3-A1/3 |"</f>
        <v/>
      </c>
      <c r="N4">
        <f>"| beta_PMO | "&amp;IF(ISBLANK(INDEX('Local Parameter'!$C:$C,MATCH("beta_PMO",'Local Parameter'!$A:$A,0))),"",INDEX('Local Parameter'!$C:$C,MATCH("beta_PMO",'Local Parameter'!$A:$A,0)))&amp;IF(ISBLANK(INDEX('Local Parameter'!$J:$J,MATCH("beta_PMO",'Local Parameter'!$A:$A,0))),0.686,IF(INDEX('Local Parameter'!$J:$J,MATCH("beta_PMO",'Local Parameter'!$A:$A,0))="",0.686,INDEX('Local Parameter'!$J:$J,MATCH("beta_PMO",'Local Parameter'!$A:$A,0))))&amp;IF(ISBLANK(INDEX('Local Parameter'!$D:$D,MATCH("beta_PMO",'Local Parameter'!$A:$A,0))),"",INDEX('Local Parameter'!$D:$D,MATCH("beta_PMO",'Local Parameter'!$A:$A,0)))&amp;" | 5A-3-A1/3 |"</f>
        <v/>
      </c>
      <c r="O4">
        <f>"| beta_RMO | "&amp;IF(ISBLANK(INDEX('Local Parameter'!$C:$C,MATCH("beta_RMO",'Local Parameter'!$A:$A,0))),"",INDEX('Local Parameter'!$C:$C,MATCH("beta_RMO",'Local Parameter'!$A:$A,0)))&amp;IF(ISBLANK(INDEX('Local Parameter'!$J:$J,MATCH("beta_RMO",'Local Parameter'!$A:$A,0))),0.492,IF(INDEX('Local Parameter'!$J:$J,MATCH("beta_RMO",'Local Parameter'!$A:$A,0))="",0.492,INDEX('Local Parameter'!$J:$J,MATCH("beta_RMO",'Local Parameter'!$A:$A,0))))&amp;IF(ISBLANK(INDEX('Local Parameter'!$D:$D,MATCH("beta_RMO",'Local Parameter'!$A:$A,0))),"",INDEX('Local Parameter'!$D:$D,MATCH("beta_RMO",'Local Parameter'!$A:$A,0)))&amp;" | 5A-3-A1/3 |"</f>
        <v/>
      </c>
      <c r="P4">
        <f>"| k_esf | "&amp;IF(ISBLANK(INDEX('Local Parameter'!$C:$C,MATCH("k_esf",'Local Parameter'!$A:$A,0))),"",INDEX('Local Parameter'!$C:$C,MATCH("k_esf",'Local Parameter'!$A:$A,0)))&amp;IF(ISBLANK(INDEX('Local Parameter'!$J:$J,MATCH("k_esf",'Local Parameter'!$A:$A,0))),1.1,IF(INDEX('Local Parameter'!$J:$J,MATCH("k_esf",'Local Parameter'!$A:$A,0))="",1.1,INDEX('Local Parameter'!$J:$J,MATCH("k_esf",'Local Parameter'!$A:$A,0))))&amp;IF(ISBLANK(INDEX('Local Parameter'!$D:$D,MATCH("k_esf",'Local Parameter'!$A:$A,0))),"",INDEX('Local Parameter'!$D:$D,MATCH("k_esf",'Local Parameter'!$A:$A,0)))&amp;" | 项目 |"</f>
        <v/>
      </c>
      <c r="Q4">
        <f>"| w_v / w_l / w_t | "&amp;IF(ISBLANK(INDEX('Local Parameter'!$C:$C,MATCH("w_v",'Local Parameter'!$A:$A,0))),"",INDEX('Local Parameter'!$C:$C,MATCH("w_v",'Local Parameter'!$A:$A,0)))&amp;IF(ISBLANK(INDEX('Local Parameter'!$J:$J,MATCH("w_v",'Local Parameter'!$A:$A,0))),0.75,IF(INDEX('Local Parameter'!$J:$J,MATCH("w_v",'Local Parameter'!$A:$A,0))="",0.75,INDEX('Local Parameter'!$J:$J,MATCH("w_v",'Local Parameter'!$A:$A,0))))&amp;IF(ISBLANK(INDEX('Local Parameter'!$D:$D,MATCH("w_v",'Local Parameter'!$A:$A,0))),"",INDEX('Local Parameter'!$D:$D,MATCH("w_v",'Local Parameter'!$A:$A,0)))&amp;" / "&amp;IF(ISBLANK(INDEX('Local Parameter'!$C:$C,MATCH("w_l",'Local Parameter'!$A:$A,0))),"",INDEX('Local Parameter'!$C:$C,MATCH("w_l",'Local Parameter'!$A:$A,0)))&amp;IF(ISBLANK(INDEX('Local Parameter'!$J:$J,MATCH("w_l",'Local Parameter'!$A:$A,0))),0.25,IF(INDEX('Local Parameter'!$J:$J,MATCH("w_l",'Local Parameter'!$A:$A,0))="",0.25,INDEX('Local Parameter'!$J:$J,MATCH("w_l",'Local Parameter'!$A:$A,0))))&amp;IF(ISBLANK(INDEX('Local Parameter'!$D:$D,MATCH("w_l",'Local Parameter'!$A:$A,0))),"",INDEX('Local Parameter'!$D:$D,MATCH("w_l",'Local Parameter'!$A:$A,0)))&amp;" / "&amp;IF(ISBLANK(INDEX('Local Parameter'!$C:$C,MATCH("w_t",'Local Parameter'!$A:$A,0))),"",INDEX('Local Parameter'!$C:$C,MATCH("w_t",'Local Parameter'!$A:$A,0)))&amp;IF(ISBLANK(INDEX('Local Parameter'!$J:$J,MATCH("w_t",'Local Parameter'!$A:$A,0))),0.75,IF(INDEX('Local Parameter'!$J:$J,MATCH("w_t",'Local Parameter'!$A:$A,0))="",0.75,INDEX('Local Parameter'!$J:$J,MATCH("w_t",'Local Parameter'!$A:$A,0))))&amp;IF(ISBLANK(INDEX('Local Parameter'!$D:$D,MATCH("w_t",'Local Parameter'!$A:$A,0))),"",INDEX('Local Parameter'!$D:$D,MATCH("w_t",'Local Parameter'!$A:$A,0)))&amp;" | Table 1A B |"</f>
        <v/>
      </c>
      <c r="R4">
        <f>"| xi | "&amp;IF(ISBLANK(INDEX('Local Parameter'!$C:$C,MATCH("xi",'Local Parameter'!$A:$A,0))),"",INDEX('Local Parameter'!$C:$C,MATCH("xi",'Local Parameter'!$A:$A,0)))&amp;IF(ISBLANK(INDEX('Local Parameter'!$J:$J,MATCH("xi",'Local Parameter'!$A:$A,0))),21,IF(INDEX('Local Parameter'!$J:$J,MATCH("xi",'Local Parameter'!$A:$A,0))="",21,INDEX('Local Parameter'!$J:$J,MATCH("xi",'Local Parameter'!$A:$A,0))))&amp;IF(ISBLANK(INDEX('Local Parameter'!$D:$D,MATCH("xi",'Local Parameter'!$A:$A,0)))," m",IF(INDEX('Local Parameter'!$D:$D,MATCH("xi",'Local Parameter'!$A:$A,0))=""," m",INDEX('Local Parameter'!$D:$D,MATCH("xi",'Local Parameter'!$A:$A,0))))&amp;" | 5.7.2(b) |"</f>
        <v/>
      </c>
      <c r="S4">
        <f>"| delta_b / delta_h | "&amp;IF(ISBLANK(INDEX('Local Parameter'!$C:$C,MATCH("delta_b",'Local Parameter'!$A:$A,0))),"",INDEX('Local Parameter'!$C:$C,MATCH("delta_b",'Local Parameter'!$A:$A,0)))&amp;IF(ISBLANK(INDEX('Local Parameter'!$J:$J,MATCH("delta_b",'Local Parameter'!$A:$A,0))),0,IF(INDEX('Local Parameter'!$J:$J,MATCH("delta_b",'Local Parameter'!$A:$A,0))="",0,INDEX('Local Parameter'!$J:$J,MATCH("delta_b",'Local Parameter'!$A:$A,0))))&amp;IF(ISBLANK(INDEX('Local Parameter'!$D:$D,MATCH("delta_b",'Local Parameter'!$A:$A,0)))," m",IF(INDEX('Local Parameter'!$D:$D,MATCH("delta_b",'Local Parameter'!$A:$A,0))=""," m",INDEX('Local Parameter'!$D:$D,MATCH("delta_b",'Local Parameter'!$A:$A,0))))&amp;" / "&amp;IF(ISBLANK(INDEX('Local Parameter'!$C:$C,MATCH("delta_h",'Local Parameter'!$A:$A,0))),"",INDEX('Local Parameter'!$C:$C,MATCH("delta_h",'Local Parameter'!$A:$A,0)))&amp;IF(ISBLANK(INDEX('Local Parameter'!$J:$J,MATCH("delta_h",'Local Parameter'!$A:$A,0))),0,IF(INDEX('Local Parameter'!$J:$J,MATCH("delta_h",'Local Parameter'!$A:$A,0))="",0,INDEX('Local Parameter'!$J:$J,MATCH("delta_h",'Local Parameter'!$A:$A,0))))&amp;IF(ISBLANK(INDEX('Local Parameter'!$D:$D,MATCH("delta_h",'Local Parameter'!$A:$A,0)))," m",IF(INDEX('Local Parameter'!$D:$D,MATCH("delta_h",'Local Parameter'!$A:$A,0))=""," m",INDEX('Local Parameter'!$D:$D,MATCH("delta_h",'Local Parameter'!$A:$A,0))))&amp;" | 5.7.2(b) |"</f>
        <v/>
      </c>
      <c r="T4">
        <f>"| rho_tank | "&amp;""&amp;IF(ISBLANK(INDEX('Tank Data'!$B:$B,MATCH(IF(ISBLANK(INDEX('Local Parameter'!$J:$J,MATCH("tank_ref",'Local Parameter'!$A:$A,0))),"WBT6",IF(INDEX('Local Parameter'!$J:$J,MATCH("tank_ref",'Local Parameter'!$A:$A,0))="","WBT6",INDEX('Local Parameter'!$J:$J,MATCH("tank_ref",'Local Parameter'!$A:$A,0)))),'Tank Data'!$A:$A,0))),1025,IF(INDEX('Tank Data'!$B:$B,MATCH(IF(ISBLANK(INDEX('Local Parameter'!$J:$J,MATCH("tank_ref",'Local Parameter'!$A:$A,0))),"WBT6",IF(INDEX('Local Parameter'!$J:$J,MATCH("tank_ref",'Local Parameter'!$A:$A,0))="","WBT6",INDEX('Local Parameter'!$J:$J,MATCH("tank_ref",'Local Parameter'!$A:$A,0)))),'Tank Data'!$A:$A,0))="",1025,INDEX('Tank Data'!$B:$B,MATCH(IF(ISBLANK(INDEX('Local Parameter'!$J:$J,MATCH("tank_ref",'Local Parameter'!$A:$A,0))),"WBT6",IF(INDEX('Local Parameter'!$J:$J,MATCH("tank_ref",'Local Parameter'!$A:$A,0))="","WBT6",INDEX('Local Parameter'!$J:$J,MATCH("tank_ref",'Local Parameter'!$A:$A,0)))),'Tank Data'!$A:$A,0))))&amp;" kg/m^3"&amp;" | 成员表 Tank Data |"</f>
        <v/>
      </c>
      <c r="U4">
        <f>"| l_tank / b_tank / h_tank | "&amp;""&amp;IF(ISBLANK(INDEX('Tank Data'!$C:$C,MATCH(IF(ISBLANK(INDEX('Local Parameter'!$J:$J,MATCH("tank_ref",'Local Parameter'!$A:$A,0))),"WBT6",IF(INDEX('Local Parameter'!$J:$J,MATCH("tank_ref",'Local Parameter'!$A:$A,0))="","WBT6",INDEX('Local Parameter'!$J:$J,MATCH("tank_ref",'Local Parameter'!$A:$A,0)))),'Tank Data'!$A:$A,0))),42,IF(INDEX('Tank Data'!$C:$C,MATCH(IF(ISBLANK(INDEX('Local Parameter'!$J:$J,MATCH("tank_ref",'Local Parameter'!$A:$A,0))),"WBT6",IF(INDEX('Local Parameter'!$J:$J,MATCH("tank_ref",'Local Parameter'!$A:$A,0))="","WBT6",INDEX('Local Parameter'!$J:$J,MATCH("tank_ref",'Local Parameter'!$A:$A,0)))),'Tank Data'!$A:$A,0))="",42,INDEX('Tank Data'!$C:$C,MATCH(IF(ISBLANK(INDEX('Local Parameter'!$J:$J,MATCH("tank_ref",'Local Parameter'!$A:$A,0))),"WBT6",IF(INDEX('Local Parameter'!$J:$J,MATCH("tank_ref",'Local Parameter'!$A:$A,0))="","WBT6",INDEX('Local Parameter'!$J:$J,MATCH("tank_ref",'Local Parameter'!$A:$A,0)))),'Tank Data'!$A:$A,0))))&amp;" m"&amp;" / "&amp;""&amp;IF(ISBLANK(INDEX('Tank Data'!$D:$D,MATCH(IF(ISBLANK(INDEX('Local Parameter'!$J:$J,MATCH("tank_ref",'Local Parameter'!$A:$A,0))),"WBT6",IF(INDEX('Local Parameter'!$J:$J,MATCH("tank_ref",'Local Parameter'!$A:$A,0))="","WBT6",INDEX('Local Parameter'!$J:$J,MATCH("tank_ref",'Local Parameter'!$A:$A,0)))),'Tank Data'!$A:$A,0))),32,IF(INDEX('Tank Data'!$D:$D,MATCH(IF(ISBLANK(INDEX('Local Parameter'!$J:$J,MATCH("tank_ref",'Local Parameter'!$A:$A,0))),"WBT6",IF(INDEX('Local Parameter'!$J:$J,MATCH("tank_ref",'Local Parameter'!$A:$A,0))="","WBT6",INDEX('Local Parameter'!$J:$J,MATCH("tank_ref",'Local Parameter'!$A:$A,0)))),'Tank Data'!$A:$A,0))="",32,INDEX('Tank Data'!$D:$D,MATCH(IF(ISBLANK(INDEX('Local Parameter'!$J:$J,MATCH("tank_ref",'Local Parameter'!$A:$A,0))),"WBT6",IF(INDEX('Local Parameter'!$J:$J,MATCH("tank_ref",'Local Parameter'!$A:$A,0))="","WBT6",INDEX('Local Parameter'!$J:$J,MATCH("tank_ref",'Local Parameter'!$A:$A,0)))),'Tank Data'!$A:$A,0))))&amp;" m"&amp;" / "&amp;""&amp;IF(ISBLANK(INDEX('Tank Data'!$E:$E,MATCH(IF(ISBLANK(INDEX('Local Parameter'!$J:$J,MATCH("tank_ref",'Local Parameter'!$A:$A,0))),"WBT6",IF(INDEX('Local Parameter'!$J:$J,MATCH("tank_ref",'Local Parameter'!$A:$A,0))="","WBT6",INDEX('Local Parameter'!$J:$J,MATCH("tank_ref",'Local Parameter'!$A:$A,0)))),'Tank Data'!$A:$A,0))),32,IF(INDEX('Tank Data'!$E:$E,MATCH(IF(ISBLANK(INDEX('Local Parameter'!$J:$J,MATCH("tank_ref",'Local Parameter'!$A:$A,0))),"WBT6",IF(INDEX('Local Parameter'!$J:$J,MATCH("tank_ref",'Local Parameter'!$A:$A,0))="","WBT6",INDEX('Local Parameter'!$J:$J,MATCH("tank_ref",'Local Parameter'!$A:$A,0)))),'Tank Data'!$A:$A,0))="",32,INDEX('Tank Data'!$E:$E,MATCH(IF(ISBLANK(INDEX('Local Parameter'!$J:$J,MATCH("tank_ref",'Local Parameter'!$A:$A,0))),"WBT6",IF(INDEX('Local Parameter'!$J:$J,MATCH("tank_ref",'Local Parameter'!$A:$A,0))="","WBT6",INDEX('Local Parameter'!$J:$J,MATCH("tank_ref",'Local Parameter'!$A:$A,0)))),'Tank Data'!$A:$A,0))))&amp;" m"&amp;" | Fig. 11 |"</f>
        <v/>
      </c>
      <c r="V4">
        <f>"| eta_deck / eta_overflow | "&amp;""&amp;IF(ISBLANK(INDEX('Tank Data'!$F:$F,MATCH(IF(ISBLANK(INDEX('Local Parameter'!$J:$J,MATCH("tank_ref",'Local Parameter'!$A:$A,0))),"WBT6",IF(INDEX('Local Parameter'!$J:$J,MATCH("tank_ref",'Local Parameter'!$A:$A,0))="","WBT6",INDEX('Local Parameter'!$J:$J,MATCH("tank_ref",'Local Parameter'!$A:$A,0)))),'Tank Data'!$A:$A,0))),0,IF(INDEX('Tank Data'!$F:$F,MATCH(IF(ISBLANK(INDEX('Local Parameter'!$J:$J,MATCH("tank_ref",'Local Parameter'!$A:$A,0))),"WBT6",IF(INDEX('Local Parameter'!$J:$J,MATCH("tank_ref",'Local Parameter'!$A:$A,0))="","WBT6",INDEX('Local Parameter'!$J:$J,MATCH("tank_ref",'Local Parameter'!$A:$A,0)))),'Tank Data'!$A:$A,0))="",0,INDEX('Tank Data'!$F:$F,MATCH(IF(ISBLANK(INDEX('Local Parameter'!$J:$J,MATCH("tank_ref",'Local Parameter'!$A:$A,0))),"WBT6",IF(INDEX('Local Parameter'!$J:$J,MATCH("tank_ref",'Local Parameter'!$A:$A,0))="","WBT6",INDEX('Local Parameter'!$J:$J,MATCH("tank_ref",'Local Parameter'!$A:$A,0)))),'Tank Data'!$A:$A,0))))&amp;" m"&amp;" / "&amp;""&amp;IF(ISBLANK(INDEX('Tank Data'!$G:$G,MATCH(IF(ISBLANK(INDEX('Local Parameter'!$J:$J,MATCH("tank_ref",'Local Parameter'!$A:$A,0))),"WBT6",IF(INDEX('Local Parameter'!$J:$J,MATCH("tank_ref",'Local Parameter'!$A:$A,0))="","WBT6",INDEX('Local Parameter'!$J:$J,MATCH("tank_ref",'Local Parameter'!$A:$A,0)))),'Tank Data'!$A:$A,0))),0,IF(INDEX('Tank Data'!$G:$G,MATCH(IF(ISBLANK(INDEX('Local Parameter'!$J:$J,MATCH("tank_ref",'Local Parameter'!$A:$A,0))),"WBT6",IF(INDEX('Local Parameter'!$J:$J,MATCH("tank_ref",'Local Parameter'!$A:$A,0))="","WBT6",INDEX('Local Parameter'!$J:$J,MATCH("tank_ref",'Local Parameter'!$A:$A,0)))),'Tank Data'!$A:$A,0))="",0,INDEX('Tank Data'!$G:$G,MATCH(IF(ISBLANK(INDEX('Local Parameter'!$J:$J,MATCH("tank_ref",'Local Parameter'!$A:$A,0))),"WBT6",IF(INDEX('Local Parameter'!$J:$J,MATCH("tank_ref",'Local Parameter'!$A:$A,0))="","WBT6",INDEX('Local Parameter'!$J:$J,MATCH("tank_ref",'Local Parameter'!$A:$A,0)))),'Tank Data'!$A:$A,0))))&amp;" m"&amp;" | Fig. 12 |"</f>
        <v/>
      </c>
      <c r="W4">
        <f>"| C_dp / C_ru | "&amp;""&amp;IF(ISBLANK(INDEX('Tank Data'!$H:$H,MATCH(IF(ISBLANK(INDEX('Local Parameter'!$J:$J,MATCH("tank_ref",'Local Parameter'!$A:$A,0))),"WBT6",IF(INDEX('Local Parameter'!$J:$J,MATCH("tank_ref",'Local Parameter'!$A:$A,0))="","WBT6",INDEX('Local Parameter'!$J:$J,MATCH("tank_ref",'Local Parameter'!$A:$A,0)))),'Tank Data'!$A:$A,0))),1,IF(INDEX('Tank Data'!$H:$H,MATCH(IF(ISBLANK(INDEX('Local Parameter'!$J:$J,MATCH("tank_ref",'Local Parameter'!$A:$A,0))),"WBT6",IF(INDEX('Local Parameter'!$J:$J,MATCH("tank_ref",'Local Parameter'!$A:$A,0))="","WBT6",INDEX('Local Parameter'!$J:$J,MATCH("tank_ref",'Local Parameter'!$A:$A,0)))),'Tank Data'!$A:$A,0))="",1,INDEX('Tank Data'!$H:$H,MATCH(IF(ISBLANK(INDEX('Local Parameter'!$J:$J,MATCH("tank_ref",'Local Parameter'!$A:$A,0))),"WBT6",IF(INDEX('Local Parameter'!$J:$J,MATCH("tank_ref",'Local Parameter'!$A:$A,0))="","WBT6",INDEX('Local Parameter'!$J:$J,MATCH("tank_ref",'Local Parameter'!$A:$A,0)))),'Tank Data'!$A:$A,0))))&amp;""&amp;" / "&amp;""&amp;IF(ISBLANK(INDEX('Tank Data'!$I:$I,MATCH(IF(ISBLANK(INDEX('Local Parameter'!$J:$J,MATCH("tank_ref",'Local Parameter'!$A:$A,0))),"WBT6",IF(INDEX('Local Parameter'!$J:$J,MATCH("tank_ref",'Local Parameter'!$A:$A,0))="","WBT6",INDEX('Local Parameter'!$J:$J,MATCH("tank_ref",'Local Parameter'!$A:$A,0)))),'Tank Data'!$A:$A,0))),1,IF(INDEX('Tank Data'!$I:$I,MATCH(IF(ISBLANK(INDEX('Local Parameter'!$J:$J,MATCH("tank_ref",'Local Parameter'!$A:$A,0))),"WBT6",IF(INDEX('Local Parameter'!$J:$J,MATCH("tank_ref",'Local Parameter'!$A:$A,0))="","WBT6",INDEX('Local Parameter'!$J:$J,MATCH("tank_ref",'Local Parameter'!$A:$A,0)))),'Tank Data'!$A:$A,0))="",1,INDEX('Tank Data'!$I:$I,MATCH(IF(ISBLANK(INDEX('Local Parameter'!$J:$J,MATCH("tank_ref",'Local Parameter'!$A:$A,0))),"WBT6",IF(INDEX('Local Parameter'!$J:$J,MATCH("tank_ref",'Local Parameter'!$A:$A,0))="","WBT6",INDEX('Local Parameter'!$J:$J,MATCH("tank_ref",'Local Parameter'!$A:$A,0)))),'Tank Data'!$A:$A,0))))&amp;""&amp;" | 5.7.2(d) |"</f>
        <v/>
      </c>
      <c r="X4">
        <f>"| p_vp | "&amp;""&amp;IF(ISBLANK(INDEX('Tank Data'!$J:$J,MATCH(IF(ISBLANK(INDEX('Local Parameter'!$J:$J,MATCH("tank_ref",'Local Parameter'!$A:$A,0))),"WBT6",IF(INDEX('Local Parameter'!$J:$J,MATCH("tank_ref",'Local Parameter'!$A:$A,0))="","WBT6",INDEX('Local Parameter'!$J:$J,MATCH("tank_ref",'Local Parameter'!$A:$A,0)))),'Tank Data'!$A:$A,0))),0,IF(INDEX('Tank Data'!$J:$J,MATCH(IF(ISBLANK(INDEX('Local Parameter'!$J:$J,MATCH("tank_ref",'Local Parameter'!$A:$A,0))),"WBT6",IF(INDEX('Local Parameter'!$J:$J,MATCH("tank_ref",'Local Parameter'!$A:$A,0))="","WBT6",INDEX('Local Parameter'!$J:$J,MATCH("tank_ref",'Local Parameter'!$A:$A,0)))),'Tank Data'!$A:$A,0))="",0,INDEX('Tank Data'!$J:$J,MATCH(IF(ISBLANK(INDEX('Local Parameter'!$J:$J,MATCH("tank_ref",'Local Parameter'!$A:$A,0))),"WBT6",IF(INDEX('Local Parameter'!$J:$J,MATCH("tank_ref",'Local Parameter'!$A:$A,0))="","WBT6",INDEX('Local Parameter'!$J:$J,MATCH("tank_ref",'Local Parameter'!$A:$A,0)))),'Tank Data'!$A:$A,0))))&amp;" N/cm^2"&amp;" | 成员表 Tank Data |"</f>
        <v/>
      </c>
      <c r="Y4">
        <f>"| GM_full_in / k_r_in | "&amp;""&amp;IF(ISBLANK(INDEX('Tank Data'!$K:$K,MATCH(IF(ISBLANK(INDEX('Local Parameter'!$J:$J,MATCH("tank_ref",'Local Parameter'!$A:$A,0))),"WBT6",IF(INDEX('Local Parameter'!$J:$J,MATCH("tank_ref",'Local Parameter'!$A:$A,0))="","WBT6",INDEX('Local Parameter'!$J:$J,MATCH("tank_ref",'Local Parameter'!$A:$A,0)))),'Tank Data'!$A:$A,0))),0,IF(INDEX('Tank Data'!$K:$K,MATCH(IF(ISBLANK(INDEX('Local Parameter'!$J:$J,MATCH("tank_ref",'Local Parameter'!$A:$A,0))),"WBT6",IF(INDEX('Local Parameter'!$J:$J,MATCH("tank_ref",'Local Parameter'!$A:$A,0))="","WBT6",INDEX('Local Parameter'!$J:$J,MATCH("tank_ref",'Local Parameter'!$A:$A,0)))),'Tank Data'!$A:$A,0))="",0,INDEX('Tank Data'!$K:$K,MATCH(IF(ISBLANK(INDEX('Local Parameter'!$J:$J,MATCH("tank_ref",'Local Parameter'!$A:$A,0))),"WBT6",IF(INDEX('Local Parameter'!$J:$J,MATCH("tank_ref",'Local Parameter'!$A:$A,0))="","WBT6",INDEX('Local Parameter'!$J:$J,MATCH("tank_ref",'Local Parameter'!$A:$A,0)))),'Tank Data'!$A:$A,0))))&amp;" m"&amp;" / "&amp;""&amp;IF(ISBLANK(INDEX('Tank Data'!$L:$L,MATCH(IF(ISBLANK(INDEX('Local Parameter'!$J:$J,MATCH("tank_ref",'Local Parameter'!$A:$A,0))),"WBT6",IF(INDEX('Local Parameter'!$J:$J,MATCH("tank_ref",'Local Parameter'!$A:$A,0))="","WBT6",INDEX('Local Parameter'!$J:$J,MATCH("tank_ref",'Local Parameter'!$A:$A,0)))),'Tank Data'!$A:$A,0))),0,IF(INDEX('Tank Data'!$L:$L,MATCH(IF(ISBLANK(INDEX('Local Parameter'!$J:$J,MATCH("tank_ref",'Local Parameter'!$A:$A,0))),"WBT6",IF(INDEX('Local Parameter'!$J:$J,MATCH("tank_ref",'Local Parameter'!$A:$A,0))="","WBT6",INDEX('Local Parameter'!$J:$J,MATCH("tank_ref",'Local Parameter'!$A:$A,0)))),'Tank Data'!$A:$A,0))="",0,INDEX('Tank Data'!$L:$L,MATCH(IF(ISBLANK(INDEX('Local Parameter'!$J:$J,MATCH("tank_ref",'Local Parameter'!$A:$A,0))),"WBT6",IF(INDEX('Local Parameter'!$J:$J,MATCH("tank_ref",'Local Parameter'!$A:$A,0))="","WBT6",INDEX('Local Parameter'!$J:$J,MATCH("tank_ref",'Local Parameter'!$A:$A,0)))),'Tank Data'!$A:$A,0))))&amp;" m"&amp;" | 稳性计算书 |"</f>
        <v/>
      </c>
      <c r="Z4">
        <f>"| tank_is_ballast / member_11_17 | "&amp;""&amp;IF(ISBLANK(INDEX('Tank Data'!$M:$M,MATCH(IF(ISBLANK(INDEX('Local Parameter'!$J:$J,MATCH("tank_ref",'Local Parameter'!$A:$A,0))),"WBT6",IF(INDEX('Local Parameter'!$J:$J,MATCH("tank_ref",'Local Parameter'!$A:$A,0))="","WBT6",INDEX('Local Parameter'!$J:$J,MATCH("tank_ref",'Local Parameter'!$A:$A,0)))),'Tank Data'!$A:$A,0))),1,IF(INDEX('Tank Data'!$M:$M,MATCH(IF(ISBLANK(INDEX('Local Parameter'!$J:$J,MATCH("tank_ref",'Local Parameter'!$A:$A,0))),"WBT6",IF(INDEX('Local Parameter'!$J:$J,MATCH("tank_ref",'Local Parameter'!$A:$A,0))="","WBT6",INDEX('Local Parameter'!$J:$J,MATCH("tank_ref",'Local Parameter'!$A:$A,0)))),'Tank Data'!$A:$A,0))="",1,INDEX('Tank Data'!$M:$M,MATCH(IF(ISBLANK(INDEX('Local Parameter'!$J:$J,MATCH("tank_ref",'Local Parameter'!$A:$A,0))),"WBT6",IF(INDEX('Local Parameter'!$J:$J,MATCH("tank_ref",'Local Parameter'!$A:$A,0))="","WBT6",INDEX('Local Parameter'!$J:$J,MATCH("tank_ref",'Local Parameter'!$A:$A,0)))),'Tank Data'!$A:$A,0))))&amp;""&amp;" / "&amp;""&amp;IF(ISBLANK(INDEX('Tank Data'!$N:$N,MATCH(IF(ISBLANK(INDEX('Local Parameter'!$J:$J,MATCH("tank_ref",'Local Parameter'!$A:$A,0))),"WBT6",IF(INDEX('Local Parameter'!$J:$J,MATCH("tank_ref",'Local Parameter'!$A:$A,0))="","WBT6",INDEX('Local Parameter'!$J:$J,MATCH("tank_ref",'Local Parameter'!$A:$A,0)))),'Tank Data'!$A:$A,0))),0,IF(INDEX('Tank Data'!$N:$N,MATCH(IF(ISBLANK(INDEX('Local Parameter'!$J:$J,MATCH("tank_ref",'Local Parameter'!$A:$A,0))),"WBT6",IF(INDEX('Local Parameter'!$J:$J,MATCH("tank_ref",'Local Parameter'!$A:$A,0))="","WBT6",INDEX('Local Parameter'!$J:$J,MATCH("tank_ref",'Local Parameter'!$A:$A,0)))),'Tank Data'!$A:$A,0))="",0,INDEX('Tank Data'!$N:$N,MATCH(IF(ISBLANK(INDEX('Local Parameter'!$J:$J,MATCH("tank_ref",'Local Parameter'!$A:$A,0))),"WBT6",IF(INDEX('Local Parameter'!$J:$J,MATCH("tank_ref",'Local Parameter'!$A:$A,0))="","WBT6",INDEX('Local Parameter'!$J:$J,MATCH("tank_ref",'Local Parameter'!$A:$A,0)))),'Tank Data'!$A:$A,0))))&amp;""&amp;" | Table 3 |"</f>
        <v/>
      </c>
      <c r="AA4">
        <f>"| L / B / D / d_f | "&amp;IF(ISBLANK(INDEX('Global Parameter'!$D:$D,MATCH("L",'Global Parameter'!$A:$A,0))),"",INDEX('Global Parameter'!$D:$D,MATCH("L",'Global Parameter'!$A:$A,0)))&amp;IF(ISBLANK(INDEX('Global Parameter'!$B:$B,MATCH("L",'Global Parameter'!$A:$A,0))),340,IF(INDEX('Global Parameter'!$B:$B,MATCH("L",'Global Parameter'!$A:$A,0))="",340,INDEX('Global Parameter'!$B:$B,MATCH("L",'Global Parameter'!$A:$A,0))))&amp;IF(ISBLANK(INDEX('Global Parameter'!$E:$E,MATCH("L",'Global Parameter'!$A:$A,0)))," m",IF(INDEX('Global Parameter'!$E:$E,MATCH("L",'Global Parameter'!$A:$A,0))=""," m",INDEX('Global Parameter'!$E:$E,MATCH("L",'Global Parameter'!$A:$A,0))))&amp;" / "&amp;IF(ISBLANK(INDEX('Global Parameter'!$D:$D,MATCH("B",'Global Parameter'!$A:$A,0))),"",INDEX('Global Parameter'!$D:$D,MATCH("B",'Global Parameter'!$A:$A,0)))&amp;IF(ISBLANK(INDEX('Global Parameter'!$B:$B,MATCH("B",'Global Parameter'!$A:$A,0))),64,IF(INDEX('Global Parameter'!$B:$B,MATCH("B",'Global Parameter'!$A:$A,0))="",64,INDEX('Global Parameter'!$B:$B,MATCH("B",'Global Parameter'!$A:$A,0))))&amp;IF(ISBLANK(INDEX('Global Parameter'!$E:$E,MATCH("B",'Global Parameter'!$A:$A,0)))," m",IF(INDEX('Global Parameter'!$E:$E,MATCH("B",'Global Parameter'!$A:$A,0))=""," m",INDEX('Global Parameter'!$E:$E,MATCH("B",'Global Parameter'!$A:$A,0))))&amp;" / "&amp;IF(ISBLANK(INDEX('Global Parameter'!$D:$D,MATCH("D",'Global Parameter'!$A:$A,0))),"",INDEX('Global Parameter'!$D:$D,MATCH("D",'Global Parameter'!$A:$A,0)))&amp;IF(ISBLANK(INDEX('Global Parameter'!$B:$B,MATCH("D",'Global Parameter'!$A:$A,0))),32,IF(INDEX('Global Parameter'!$B:$B,MATCH("D",'Global Parameter'!$A:$A,0))="",32,INDEX('Global Parameter'!$B:$B,MATCH("D",'Global Parameter'!$A:$A,0))))&amp;IF(ISBLANK(INDEX('Global Parameter'!$E:$E,MATCH("D",'Global Parameter'!$A:$A,0)))," m",IF(INDEX('Global Parameter'!$E:$E,MATCH("D",'Global Parameter'!$A:$A,0))=""," m",INDEX('Global Parameter'!$E:$E,MATCH("D",'Global Parameter'!$A:$A,0))))&amp;" / "&amp;IF(ISBLANK(INDEX('Global Parameter'!$D:$D,MATCH("d_f",'Global Parameter'!$A:$A,0))),"",INDEX('Global Parameter'!$D:$D,MATCH("d_f",'Global Parameter'!$A:$A,0)))&amp;IF(ISBLANK(INDEX('Global Parameter'!$B:$B,MATCH("d_f",'Global Parameter'!$A:$A,0))),20.559,IF(INDEX('Global Parameter'!$B:$B,MATCH("d_f",'Global Parameter'!$A:$A,0))="",20.559,INDEX('Global Parameter'!$B:$B,MATCH("d_f",'Global Parameter'!$A:$A,0))))&amp;IF(ISBLANK(INDEX('Global Parameter'!$E:$E,MATCH("d_f",'Global Parameter'!$A:$A,0)))," m",IF(INDEX('Global Parameter'!$E:$E,MATCH("d_f",'Global Parameter'!$A:$A,0))=""," m",INDEX('Global Parameter'!$E:$E,MATCH("d_f",'Global Parameter'!$A:$A,0))))&amp;" | 3-1-1/3 |"</f>
        <v/>
      </c>
      <c r="AB4">
        <f>"| rho_sea / g / Cb | "&amp;IF(ISBLANK(INDEX('Global Parameter'!$D:$D,MATCH("rho_sea",'Global Parameter'!$A:$A,0))),"",INDEX('Global Parameter'!$D:$D,MATCH("rho_sea",'Global Parameter'!$A:$A,0)))&amp;IF(ISBLANK(INDEX('Global Parameter'!$B:$B,MATCH("rho_sea",'Global Parameter'!$A:$A,0))),1025,IF(INDEX('Global Parameter'!$B:$B,MATCH("rho_sea",'Global Parameter'!$A:$A,0))="",1025,INDEX('Global Parameter'!$B:$B,MATCH("rho_sea",'Global Parameter'!$A:$A,0))))&amp;IF(ISBLANK(INDEX('Global Parameter'!$E:$E,MATCH("rho_sea",'Global Parameter'!$A:$A,0)))," kg/m^3",IF(INDEX('Global Parameter'!$E:$E,MATCH("rho_sea",'Global Parameter'!$A:$A,0))=""," kg/m^3",INDEX('Global Parameter'!$E:$E,MATCH("rho_sea",'Global Parameter'!$A:$A,0))))&amp;" / "&amp;IF(ISBLANK(INDEX('Global Parameter'!$D:$D,MATCH("g",'Global Parameter'!$A:$A,0))),"",INDEX('Global Parameter'!$D:$D,MATCH("g",'Global Parameter'!$A:$A,0)))&amp;IF(ISBLANK(INDEX('Global Parameter'!$B:$B,MATCH("g",'Global Parameter'!$A:$A,0))),9.81,IF(INDEX('Global Parameter'!$B:$B,MATCH("g",'Global Parameter'!$A:$A,0))="",9.81,INDEX('Global Parameter'!$B:$B,MATCH("g",'Global Parameter'!$A:$A,0))))&amp;IF(ISBLANK(INDEX('Global Parameter'!$E:$E,MATCH("g",'Global Parameter'!$A:$A,0)))," m/s^2",IF(INDEX('Global Parameter'!$E:$E,MATCH("g",'Global Parameter'!$A:$A,0))=""," m/s^2",INDEX('Global Parameter'!$E:$E,MATCH("g",'Global Parameter'!$A:$A,0))))&amp;" / "&amp;IF(ISBLANK(INDEX('Global Parameter'!$D:$D,MATCH("Cb",'Global Parameter'!$A:$A,0))),"",INDEX('Global Parameter'!$D:$D,MATCH("Cb",'Global Parameter'!$A:$A,0)))&amp;IF(ISBLANK(INDEX('Global Parameter'!$B:$B,MATCH("Cb",'Global Parameter'!$A:$A,0))),1,IF(INDEX('Global Parameter'!$B:$B,MATCH("Cb",'Global Parameter'!$A:$A,0))="",1,INDEX('Global Parameter'!$B:$B,MATCH("Cb",'Global Parameter'!$A:$A,0))))&amp;IF(ISBLANK(INDEX('Global Parameter'!$E:$E,MATCH("Cb",'Global Parameter'!$A:$A,0))),"",INDEX('Global Parameter'!$E:$E,MATCH("Cb",'Global Parameter'!$A:$A,0)))&amp;" | 5.7.1 |"</f>
        <v/>
      </c>
      <c r="AC4">
        <f>"| rho_g_lo / rho_g_hi | "&amp;IF(ISBLANK(INDEX('Global Parameter'!$D:$D,MATCH("rho_g_lo",'Global Parameter'!$A:$A,0))),"",INDEX('Global Parameter'!$D:$D,MATCH("rho_g_lo",'Global Parameter'!$A:$A,0)))&amp;IF(ISBLANK(INDEX('Global Parameter'!$B:$B,MATCH("rho_g_lo",'Global Parameter'!$A:$A,0))),10050,IF(INDEX('Global Parameter'!$B:$B,MATCH("rho_g_lo",'Global Parameter'!$A:$A,0))="",10050,INDEX('Global Parameter'!$B:$B,MATCH("rho_g_lo",'Global Parameter'!$A:$A,0))))&amp;IF(ISBLANK(INDEX('Global Parameter'!$E:$E,MATCH("rho_g_lo",'Global Parameter'!$A:$A,0)))," N/m^3",IF(INDEX('Global Parameter'!$E:$E,MATCH("rho_g_lo",'Global Parameter'!$A:$A,0))=""," N/m^3",INDEX('Global Parameter'!$E:$E,MATCH("rho_g_lo",'Global Parameter'!$A:$A,0))))&amp;" / "&amp;IF(ISBLANK(INDEX('Global Parameter'!$D:$D,MATCH("rho_g_hi",'Global Parameter'!$A:$A,0))),"",INDEX('Global Parameter'!$D:$D,MATCH("rho_g_hi",'Global Parameter'!$A:$A,0)))&amp;IF(ISBLANK(INDEX('Global Parameter'!$B:$B,MATCH("rho_g_hi",'Global Parameter'!$A:$A,0))),11180,IF(INDEX('Global Parameter'!$B:$B,MATCH("rho_g_hi",'Global Parameter'!$A:$A,0))="",11180,INDEX('Global Parameter'!$B:$B,MATCH("rho_g_hi",'Global Parameter'!$A:$A,0))))&amp;IF(ISBLANK(INDEX('Global Parameter'!$E:$E,MATCH("rho_g_hi",'Global Parameter'!$A:$A,0)))," N/m^3",IF(INDEX('Global Parameter'!$E:$E,MATCH("rho_g_hi",'Global Parameter'!$A:$A,0))=""," N/m^3",INDEX('Global Parameter'!$E:$E,MATCH("rho_g_hi",'Global Parameter'!$A:$A,0))))&amp;" | 5.7.2(a) |"</f>
        <v/>
      </c>
      <c r="AD4">
        <f>"| axis ax | ("&amp;IF(ISBLANK(INDEX('Global Parameter'!$D:$D,MATCH("ax_x",'Global Parameter'!$A:$A,0))),"",INDEX('Global Parameter'!$D:$D,MATCH("ax_x",'Global Parameter'!$A:$A,0)))&amp;IF(ISBLANK(INDEX('Global Parameter'!$B:$B,MATCH("ax_x",'Global Parameter'!$A:$A,0))),"1",IF(INDEX('Global Parameter'!$B:$B,MATCH("ax_x",'Global Parameter'!$A:$A,0))="","1",INDEX('Global Parameter'!$B:$B,MATCH("ax_x",'Global Parameter'!$A:$A,0))))&amp;IF(ISBLANK(INDEX('Global Parameter'!$E:$E,MATCH("ax_x",'Global Parameter'!$A:$A,0))),"",INDEX('Global Parameter'!$E:$E,MATCH("ax_x",'Global Parameter'!$A:$A,0)))&amp;", "&amp;IF(ISBLANK(INDEX('Global Parameter'!$D:$D,MATCH("ax_y",'Global Parameter'!$A:$A,0))),"",INDEX('Global Parameter'!$D:$D,MATCH("ax_y",'Global Parameter'!$A:$A,0)))&amp;IF(ISBLANK(INDEX('Global Parameter'!$B:$B,MATCH("ax_y",'Global Parameter'!$A:$A,0))),"2",IF(INDEX('Global Parameter'!$B:$B,MATCH("ax_y",'Global Parameter'!$A:$A,0))="","2",INDEX('Global Parameter'!$B:$B,MATCH("ax_y",'Global Parameter'!$A:$A,0))))&amp;IF(ISBLANK(INDEX('Global Parameter'!$E:$E,MATCH("ax_y",'Global Parameter'!$A:$A,0))),"",INDEX('Global Parameter'!$E:$E,MATCH("ax_y",'Global Parameter'!$A:$A,0)))&amp;", "&amp;IF(ISBLANK(INDEX('Global Parameter'!$D:$D,MATCH("ax_z",'Global Parameter'!$A:$A,0))),"",INDEX('Global Parameter'!$D:$D,MATCH("ax_z",'Global Parameter'!$A:$A,0)))&amp;IF(ISBLANK(INDEX('Global Parameter'!$B:$B,MATCH("ax_z",'Global Parameter'!$A:$A,0))),"3",IF(INDEX('Global Parameter'!$B:$B,MATCH("ax_z",'Global Parameter'!$A:$A,0))="","3",INDEX('Global Parameter'!$B:$B,MATCH("ax_z",'Global Parameter'!$A:$A,0))))&amp;IF(ISBLANK(INDEX('Global Parameter'!$E:$E,MATCH("ax_z",'Global Parameter'!$A:$A,0))),"",INDEX('Global Parameter'!$E:$E,MATCH("ax_z",'Global Parameter'!$A:$A,0)))&amp;") | 模型 |"</f>
        <v/>
      </c>
      <c r="AE4">
        <f>"| axis neg | ("&amp;IF(ISBLANK(INDEX('Global Parameter'!$D:$D,MATCH("neg_x",'Global Parameter'!$A:$A,0))),"",INDEX('Global Parameter'!$D:$D,MATCH("neg_x",'Global Parameter'!$A:$A,0)))&amp;IF(ISBLANK(INDEX('Global Parameter'!$B:$B,MATCH("neg_x",'Global Parameter'!$A:$A,0))),"",INDEX('Global Parameter'!$B:$B,MATCH("neg_x",'Global Parameter'!$A:$A,0)))&amp;IF(ISBLANK(INDEX('Global Parameter'!$E:$E,MATCH("neg_x",'Global Parameter'!$A:$A,0))),"",INDEX('Global Parameter'!$E:$E,MATCH("neg_x",'Global Parameter'!$A:$A,0)))&amp;" / "&amp;IF(ISBLANK(INDEX('Global Parameter'!$D:$D,MATCH("neg_y",'Global Parameter'!$A:$A,0))),"",INDEX('Global Parameter'!$D:$D,MATCH("neg_y",'Global Parameter'!$A:$A,0)))&amp;IF(ISBLANK(INDEX('Global Parameter'!$B:$B,MATCH("neg_y",'Global Parameter'!$A:$A,0))),"",INDEX('Global Parameter'!$B:$B,MATCH("neg_y",'Global Parameter'!$A:$A,0)))&amp;IF(ISBLANK(INDEX('Global Parameter'!$E:$E,MATCH("neg_y",'Global Parameter'!$A:$A,0))),"",INDEX('Global Parameter'!$E:$E,MATCH("neg_y",'Global Parameter'!$A:$A,0)))&amp;" / "&amp;IF(ISBLANK(INDEX('Global Parameter'!$D:$D,MATCH("neg_z",'Global Parameter'!$A:$A,0))),"",INDEX('Global Parameter'!$D:$D,MATCH("neg_z",'Global Parameter'!$A:$A,0)))&amp;IF(ISBLANK(INDEX('Global Parameter'!$B:$B,MATCH("neg_z",'Global Parameter'!$A:$A,0))),"",INDEX('Global Parameter'!$B:$B,MATCH("neg_z",'Global Parameter'!$A:$A,0)))&amp;IF(ISBLANK(INDEX('Global Parameter'!$E:$E,MATCH("neg_z",'Global Parameter'!$A:$A,0))),"",INDEX('Global Parameter'!$E:$E,MATCH("neg_z",'Global Parameter'!$A:$A,0)))&amp;") | 模型 |"</f>
        <v/>
      </c>
    </row>
    <row r="5">
      <c r="A5" s="19" t="inlineStr">
        <is>
          <t>COT1-d20.559-mu60</t>
        </is>
      </c>
      <c r="B5">
        <f>"| 项目 | 值 | 出处 |"</f>
        <v/>
      </c>
      <c r="C5">
        <f>"| --- | --- | --- |"</f>
        <v/>
      </c>
      <c r="D5">
        <f>"| case_name | "&amp;'Local Parameter'!$K$1&amp;" | 工况名（Excel 表头） |"</f>
        <v/>
      </c>
      <c r="E5">
        <f>"| kind | "&amp;IF(ISBLANK(INDEX('Local Parameter'!$C:$C,MATCH("kind",'Local Parameter'!$A:$A,0))),"",INDEX('Local Parameter'!$C:$C,MATCH("kind",'Local Parameter'!$A:$A,0)))&amp;IF(ISBLANK(INDEX('Local Parameter'!$K:$K,MATCH("kind",'Local Parameter'!$A:$A,0))),"EXT",IF(INDEX('Local Parameter'!$K:$K,MATCH("kind",'Local Parameter'!$A:$A,0))="","EXT",INDEX('Local Parameter'!$K:$K,MATCH("kind",'Local Parameter'!$A:$A,0))))&amp;IF(ISBLANK(INDEX('Local Parameter'!$D:$D,MATCH("kind",'Local Parameter'!$A:$A,0))),"",INDEX('Local Parameter'!$D:$D,MATCH("kind",'Local Parameter'!$A:$A,0)))&amp;" | 规则集（多规则集共用一本工作簿时用 case_filter 分流） |"</f>
        <v/>
      </c>
      <c r="F5">
        <f>"| tank_ref | "&amp;IF(ISBLANK(INDEX('Local Parameter'!$C:$C,MATCH("tank_ref",'Local Parameter'!$A:$A,0))),"",INDEX('Local Parameter'!$C:$C,MATCH("tank_ref",'Local Parameter'!$A:$A,0)))&amp;IF(ISBLANK(INDEX('Local Parameter'!$K:$K,MATCH("tank_ref",'Local Parameter'!$A:$A,0))),"WBT6",IF(INDEX('Local Parameter'!$K:$K,MATCH("tank_ref",'Local Parameter'!$A:$A,0))="","WBT6",INDEX('Local Parameter'!$K:$K,MATCH("tank_ref",'Local Parameter'!$A:$A,0))))&amp;IF(ISBLANK(INDEX('Local Parameter'!$D:$D,MATCH("tank_ref",'Local Parameter'!$A:$A,0))),"",INDEX('Local Parameter'!$D:$D,MATCH("tank_ref",'Local Parameter'!$A:$A,0)))&amp;" | 指向成员表 `Tank Data` 的哪一行（指南 §18） |"</f>
        <v/>
      </c>
      <c r="G5">
        <f>"| draft | "&amp;IF(ISBLANK(INDEX('Local Parameter'!$C:$C,MATCH("draft",'Local Parameter'!$A:$A,0))),"",INDEX('Local Parameter'!$C:$C,MATCH("draft",'Local Parameter'!$A:$A,0)))&amp;IF(ISBLANK(INDEX('Local Parameter'!$K:$K,MATCH("draft",'Local Parameter'!$A:$A,0))),20.559,IF(INDEX('Local Parameter'!$K:$K,MATCH("draft",'Local Parameter'!$A:$A,0))="",20.559,INDEX('Local Parameter'!$K:$K,MATCH("draft",'Local Parameter'!$A:$A,0))))&amp;IF(ISBLANK(INDEX('Local Parameter'!$D:$D,MATCH("draft",'Local Parameter'!$A:$A,0)))," m",IF(INDEX('Local Parameter'!$D:$D,MATCH("draft",'Local Parameter'!$A:$A,0))=""," m",INDEX('Local Parameter'!$D:$D,MATCH("draft",'Local Parameter'!$A:$A,0))))&amp;" | 装载工况 |"</f>
        <v/>
      </c>
      <c r="H5">
        <f>"| mu_deg | "&amp;IF(ISBLANK(INDEX('Local Parameter'!$C:$C,MATCH("mu_deg",'Local Parameter'!$A:$A,0))),"",INDEX('Local Parameter'!$C:$C,MATCH("mu_deg",'Local Parameter'!$A:$A,0)))&amp;IF(ISBLANK(INDEX('Local Parameter'!$K:$K,MATCH("mu_deg",'Local Parameter'!$A:$A,0))),90,IF(INDEX('Local Parameter'!$K:$K,MATCH("mu_deg",'Local Parameter'!$A:$A,0))="",90,INDEX('Local Parameter'!$K:$K,MATCH("mu_deg",'Local Parameter'!$A:$A,0))))&amp;IF(ISBLANK(INDEX('Local Parameter'!$D:$D,MATCH("mu_deg",'Local Parameter'!$A:$A,0)))," deg",IF(INDEX('Local Parameter'!$D:$D,MATCH("mu_deg",'Local Parameter'!$A:$A,0))=""," deg",INDEX('Local Parameter'!$D:$D,MATCH("mu_deg",'Local Parameter'!$A:$A,0))))&amp;" | Table 1A D |"</f>
        <v/>
      </c>
      <c r="I5">
        <f>"| k_c | "&amp;IF(ISBLANK(INDEX('Local Parameter'!$C:$C,MATCH("k_c",'Local Parameter'!$A:$A,0))),"",INDEX('Local Parameter'!$C:$C,MATCH("k_c",'Local Parameter'!$A:$A,0)))&amp;IF(ISBLANK(INDEX('Local Parameter'!$K:$K,MATCH("k_c",'Local Parameter'!$A:$A,0))),1,IF(INDEX('Local Parameter'!$K:$K,MATCH("k_c",'Local Parameter'!$A:$A,0))="",1,INDEX('Local Parameter'!$K:$K,MATCH("k_c",'Local Parameter'!$A:$A,0))))&amp;IF(ISBLANK(INDEX('Local Parameter'!$D:$D,MATCH("k_c",'Local Parameter'!$A:$A,0))),"",INDEX('Local Parameter'!$D:$D,MATCH("k_c",'Local Parameter'!$A:$A,0)))&amp;" | Table 1A C |"</f>
        <v/>
      </c>
      <c r="J5">
        <f>"| k_u | "&amp;IF(ISBLANK(INDEX('Local Parameter'!$C:$C,MATCH("k_u",'Local Parameter'!$A:$A,0))),"",INDEX('Local Parameter'!$C:$C,MATCH("k_u",'Local Parameter'!$A:$A,0)))&amp;IF(ISBLANK(INDEX('Local Parameter'!$K:$K,MATCH("k_u",'Local Parameter'!$A:$A,0))),1.1,IF(INDEX('Local Parameter'!$K:$K,MATCH("k_u",'Local Parameter'!$A:$A,0))="",1.1,INDEX('Local Parameter'!$K:$K,MATCH("k_u",'Local Parameter'!$A:$A,0))))&amp;IF(ISBLANK(INDEX('Local Parameter'!$D:$D,MATCH("k_u",'Local Parameter'!$A:$A,0))),"",INDEX('Local Parameter'!$D:$D,MATCH("k_u",'Local Parameter'!$A:$A,0)))&amp;" | 5A-3-2/7, /9 |"</f>
        <v/>
      </c>
      <c r="K5">
        <f>"| beta_VAC | "&amp;IF(ISBLANK(INDEX('Local Parameter'!$C:$C,MATCH("beta_VAC",'Local Parameter'!$A:$A,0))),"",INDEX('Local Parameter'!$C:$C,MATCH("beta_VAC",'Local Parameter'!$A:$A,0)))&amp;IF(ISBLANK(INDEX('Local Parameter'!$K:$K,MATCH("beta_VAC",'Local Parameter'!$A:$A,0))),0.66,IF(INDEX('Local Parameter'!$K:$K,MATCH("beta_VAC",'Local Parameter'!$A:$A,0))="",0.66,INDEX('Local Parameter'!$K:$K,MATCH("beta_VAC",'Local Parameter'!$A:$A,0))))&amp;IF(ISBLANK(INDEX('Local Parameter'!$D:$D,MATCH("beta_VAC",'Local Parameter'!$A:$A,0))),"",INDEX('Local Parameter'!$D:$D,MATCH("beta_VAC",'Local Parameter'!$A:$A,0)))&amp;" | 5A-3-A1/3 |"</f>
        <v/>
      </c>
      <c r="L5">
        <f>"| beta_LAC | "&amp;IF(ISBLANK(INDEX('Local Parameter'!$C:$C,MATCH("beta_LAC",'Local Parameter'!$A:$A,0))),"",INDEX('Local Parameter'!$C:$C,MATCH("beta_LAC",'Local Parameter'!$A:$A,0)))&amp;IF(ISBLANK(INDEX('Local Parameter'!$K:$K,MATCH("beta_LAC",'Local Parameter'!$A:$A,0))),0.758,IF(INDEX('Local Parameter'!$K:$K,MATCH("beta_LAC",'Local Parameter'!$A:$A,0))="",0.758,INDEX('Local Parameter'!$K:$K,MATCH("beta_LAC",'Local Parameter'!$A:$A,0))))&amp;IF(ISBLANK(INDEX('Local Parameter'!$D:$D,MATCH("beta_LAC",'Local Parameter'!$A:$A,0))),"",INDEX('Local Parameter'!$D:$D,MATCH("beta_LAC",'Local Parameter'!$A:$A,0)))&amp;" | 5A-3-A1/3 |"</f>
        <v/>
      </c>
      <c r="M5">
        <f>"| beta_TAC | "&amp;IF(ISBLANK(INDEX('Local Parameter'!$C:$C,MATCH("beta_TAC",'Local Parameter'!$A:$A,0))),"",INDEX('Local Parameter'!$C:$C,MATCH("beta_TAC",'Local Parameter'!$A:$A,0)))&amp;IF(ISBLANK(INDEX('Local Parameter'!$K:$K,MATCH("beta_TAC",'Local Parameter'!$A:$A,0))),0.557,IF(INDEX('Local Parameter'!$K:$K,MATCH("beta_TAC",'Local Parameter'!$A:$A,0))="",0.557,INDEX('Local Parameter'!$K:$K,MATCH("beta_TAC",'Local Parameter'!$A:$A,0))))&amp;IF(ISBLANK(INDEX('Local Parameter'!$D:$D,MATCH("beta_TAC",'Local Parameter'!$A:$A,0))),"",INDEX('Local Parameter'!$D:$D,MATCH("beta_TAC",'Local Parameter'!$A:$A,0)))&amp;" | 5A-3-A1/3 |"</f>
        <v/>
      </c>
      <c r="N5">
        <f>"| beta_PMO | "&amp;IF(ISBLANK(INDEX('Local Parameter'!$C:$C,MATCH("beta_PMO",'Local Parameter'!$A:$A,0))),"",INDEX('Local Parameter'!$C:$C,MATCH("beta_PMO",'Local Parameter'!$A:$A,0)))&amp;IF(ISBLANK(INDEX('Local Parameter'!$K:$K,MATCH("beta_PMO",'Local Parameter'!$A:$A,0))),0.686,IF(INDEX('Local Parameter'!$K:$K,MATCH("beta_PMO",'Local Parameter'!$A:$A,0))="",0.686,INDEX('Local Parameter'!$K:$K,MATCH("beta_PMO",'Local Parameter'!$A:$A,0))))&amp;IF(ISBLANK(INDEX('Local Parameter'!$D:$D,MATCH("beta_PMO",'Local Parameter'!$A:$A,0))),"",INDEX('Local Parameter'!$D:$D,MATCH("beta_PMO",'Local Parameter'!$A:$A,0)))&amp;" | 5A-3-A1/3 |"</f>
        <v/>
      </c>
      <c r="O5">
        <f>"| beta_RMO | "&amp;IF(ISBLANK(INDEX('Local Parameter'!$C:$C,MATCH("beta_RMO",'Local Parameter'!$A:$A,0))),"",INDEX('Local Parameter'!$C:$C,MATCH("beta_RMO",'Local Parameter'!$A:$A,0)))&amp;IF(ISBLANK(INDEX('Local Parameter'!$K:$K,MATCH("beta_RMO",'Local Parameter'!$A:$A,0))),0.492,IF(INDEX('Local Parameter'!$K:$K,MATCH("beta_RMO",'Local Parameter'!$A:$A,0))="",0.492,INDEX('Local Parameter'!$K:$K,MATCH("beta_RMO",'Local Parameter'!$A:$A,0))))&amp;IF(ISBLANK(INDEX('Local Parameter'!$D:$D,MATCH("beta_RMO",'Local Parameter'!$A:$A,0))),"",INDEX('Local Parameter'!$D:$D,MATCH("beta_RMO",'Local Parameter'!$A:$A,0)))&amp;" | 5A-3-A1/3 |"</f>
        <v/>
      </c>
      <c r="P5">
        <f>"| k_esf | "&amp;IF(ISBLANK(INDEX('Local Parameter'!$C:$C,MATCH("k_esf",'Local Parameter'!$A:$A,0))),"",INDEX('Local Parameter'!$C:$C,MATCH("k_esf",'Local Parameter'!$A:$A,0)))&amp;IF(ISBLANK(INDEX('Local Parameter'!$K:$K,MATCH("k_esf",'Local Parameter'!$A:$A,0))),1.1,IF(INDEX('Local Parameter'!$K:$K,MATCH("k_esf",'Local Parameter'!$A:$A,0))="",1.1,INDEX('Local Parameter'!$K:$K,MATCH("k_esf",'Local Parameter'!$A:$A,0))))&amp;IF(ISBLANK(INDEX('Local Parameter'!$D:$D,MATCH("k_esf",'Local Parameter'!$A:$A,0))),"",INDEX('Local Parameter'!$D:$D,MATCH("k_esf",'Local Parameter'!$A:$A,0)))&amp;" | 项目 |"</f>
        <v/>
      </c>
      <c r="Q5">
        <f>"| w_v / w_l / w_t | "&amp;IF(ISBLANK(INDEX('Local Parameter'!$C:$C,MATCH("w_v",'Local Parameter'!$A:$A,0))),"",INDEX('Local Parameter'!$C:$C,MATCH("w_v",'Local Parameter'!$A:$A,0)))&amp;IF(ISBLANK(INDEX('Local Parameter'!$K:$K,MATCH("w_v",'Local Parameter'!$A:$A,0))),0.75,IF(INDEX('Local Parameter'!$K:$K,MATCH("w_v",'Local Parameter'!$A:$A,0))="",0.75,INDEX('Local Parameter'!$K:$K,MATCH("w_v",'Local Parameter'!$A:$A,0))))&amp;IF(ISBLANK(INDEX('Local Parameter'!$D:$D,MATCH("w_v",'Local Parameter'!$A:$A,0))),"",INDEX('Local Parameter'!$D:$D,MATCH("w_v",'Local Parameter'!$A:$A,0)))&amp;" / "&amp;IF(ISBLANK(INDEX('Local Parameter'!$C:$C,MATCH("w_l",'Local Parameter'!$A:$A,0))),"",INDEX('Local Parameter'!$C:$C,MATCH("w_l",'Local Parameter'!$A:$A,0)))&amp;IF(ISBLANK(INDEX('Local Parameter'!$K:$K,MATCH("w_l",'Local Parameter'!$A:$A,0))),0.25,IF(INDEX('Local Parameter'!$K:$K,MATCH("w_l",'Local Parameter'!$A:$A,0))="",0.25,INDEX('Local Parameter'!$K:$K,MATCH("w_l",'Local Parameter'!$A:$A,0))))&amp;IF(ISBLANK(INDEX('Local Parameter'!$D:$D,MATCH("w_l",'Local Parameter'!$A:$A,0))),"",INDEX('Local Parameter'!$D:$D,MATCH("w_l",'Local Parameter'!$A:$A,0)))&amp;" / "&amp;IF(ISBLANK(INDEX('Local Parameter'!$C:$C,MATCH("w_t",'Local Parameter'!$A:$A,0))),"",INDEX('Local Parameter'!$C:$C,MATCH("w_t",'Local Parameter'!$A:$A,0)))&amp;IF(ISBLANK(INDEX('Local Parameter'!$K:$K,MATCH("w_t",'Local Parameter'!$A:$A,0))),0.75,IF(INDEX('Local Parameter'!$K:$K,MATCH("w_t",'Local Parameter'!$A:$A,0))="",0.75,INDEX('Local Parameter'!$K:$K,MATCH("w_t",'Local Parameter'!$A:$A,0))))&amp;IF(ISBLANK(INDEX('Local Parameter'!$D:$D,MATCH("w_t",'Local Parameter'!$A:$A,0))),"",INDEX('Local Parameter'!$D:$D,MATCH("w_t",'Local Parameter'!$A:$A,0)))&amp;" | Table 1A B |"</f>
        <v/>
      </c>
      <c r="R5">
        <f>"| xi | "&amp;IF(ISBLANK(INDEX('Local Parameter'!$C:$C,MATCH("xi",'Local Parameter'!$A:$A,0))),"",INDEX('Local Parameter'!$C:$C,MATCH("xi",'Local Parameter'!$A:$A,0)))&amp;IF(ISBLANK(INDEX('Local Parameter'!$K:$K,MATCH("xi",'Local Parameter'!$A:$A,0))),21,IF(INDEX('Local Parameter'!$K:$K,MATCH("xi",'Local Parameter'!$A:$A,0))="",21,INDEX('Local Parameter'!$K:$K,MATCH("xi",'Local Parameter'!$A:$A,0))))&amp;IF(ISBLANK(INDEX('Local Parameter'!$D:$D,MATCH("xi",'Local Parameter'!$A:$A,0)))," m",IF(INDEX('Local Parameter'!$D:$D,MATCH("xi",'Local Parameter'!$A:$A,0))=""," m",INDEX('Local Parameter'!$D:$D,MATCH("xi",'Local Parameter'!$A:$A,0))))&amp;" | 5.7.2(b) |"</f>
        <v/>
      </c>
      <c r="S5">
        <f>"| delta_b / delta_h | "&amp;IF(ISBLANK(INDEX('Local Parameter'!$C:$C,MATCH("delta_b",'Local Parameter'!$A:$A,0))),"",INDEX('Local Parameter'!$C:$C,MATCH("delta_b",'Local Parameter'!$A:$A,0)))&amp;IF(ISBLANK(INDEX('Local Parameter'!$K:$K,MATCH("delta_b",'Local Parameter'!$A:$A,0))),0,IF(INDEX('Local Parameter'!$K:$K,MATCH("delta_b",'Local Parameter'!$A:$A,0))="",0,INDEX('Local Parameter'!$K:$K,MATCH("delta_b",'Local Parameter'!$A:$A,0))))&amp;IF(ISBLANK(INDEX('Local Parameter'!$D:$D,MATCH("delta_b",'Local Parameter'!$A:$A,0)))," m",IF(INDEX('Local Parameter'!$D:$D,MATCH("delta_b",'Local Parameter'!$A:$A,0))=""," m",INDEX('Local Parameter'!$D:$D,MATCH("delta_b",'Local Parameter'!$A:$A,0))))&amp;" / "&amp;IF(ISBLANK(INDEX('Local Parameter'!$C:$C,MATCH("delta_h",'Local Parameter'!$A:$A,0))),"",INDEX('Local Parameter'!$C:$C,MATCH("delta_h",'Local Parameter'!$A:$A,0)))&amp;IF(ISBLANK(INDEX('Local Parameter'!$K:$K,MATCH("delta_h",'Local Parameter'!$A:$A,0))),0,IF(INDEX('Local Parameter'!$K:$K,MATCH("delta_h",'Local Parameter'!$A:$A,0))="",0,INDEX('Local Parameter'!$K:$K,MATCH("delta_h",'Local Parameter'!$A:$A,0))))&amp;IF(ISBLANK(INDEX('Local Parameter'!$D:$D,MATCH("delta_h",'Local Parameter'!$A:$A,0)))," m",IF(INDEX('Local Parameter'!$D:$D,MATCH("delta_h",'Local Parameter'!$A:$A,0))=""," m",INDEX('Local Parameter'!$D:$D,MATCH("delta_h",'Local Parameter'!$A:$A,0))))&amp;" | 5.7.2(b) |"</f>
        <v/>
      </c>
      <c r="T5">
        <f>"| rho_tank | "&amp;""&amp;IF(ISBLANK(INDEX('Tank Data'!$B:$B,MATCH(IF(ISBLANK(INDEX('Local Parameter'!$K:$K,MATCH("tank_ref",'Local Parameter'!$A:$A,0))),"WBT6",IF(INDEX('Local Parameter'!$K:$K,MATCH("tank_ref",'Local Parameter'!$A:$A,0))="","WBT6",INDEX('Local Parameter'!$K:$K,MATCH("tank_ref",'Local Parameter'!$A:$A,0)))),'Tank Data'!$A:$A,0))),1025,IF(INDEX('Tank Data'!$B:$B,MATCH(IF(ISBLANK(INDEX('Local Parameter'!$K:$K,MATCH("tank_ref",'Local Parameter'!$A:$A,0))),"WBT6",IF(INDEX('Local Parameter'!$K:$K,MATCH("tank_ref",'Local Parameter'!$A:$A,0))="","WBT6",INDEX('Local Parameter'!$K:$K,MATCH("tank_ref",'Local Parameter'!$A:$A,0)))),'Tank Data'!$A:$A,0))="",1025,INDEX('Tank Data'!$B:$B,MATCH(IF(ISBLANK(INDEX('Local Parameter'!$K:$K,MATCH("tank_ref",'Local Parameter'!$A:$A,0))),"WBT6",IF(INDEX('Local Parameter'!$K:$K,MATCH("tank_ref",'Local Parameter'!$A:$A,0))="","WBT6",INDEX('Local Parameter'!$K:$K,MATCH("tank_ref",'Local Parameter'!$A:$A,0)))),'Tank Data'!$A:$A,0))))&amp;" kg/m^3"&amp;" | 成员表 Tank Data |"</f>
        <v/>
      </c>
      <c r="U5">
        <f>"| l_tank / b_tank / h_tank | "&amp;""&amp;IF(ISBLANK(INDEX('Tank Data'!$C:$C,MATCH(IF(ISBLANK(INDEX('Local Parameter'!$K:$K,MATCH("tank_ref",'Local Parameter'!$A:$A,0))),"WBT6",IF(INDEX('Local Parameter'!$K:$K,MATCH("tank_ref",'Local Parameter'!$A:$A,0))="","WBT6",INDEX('Local Parameter'!$K:$K,MATCH("tank_ref",'Local Parameter'!$A:$A,0)))),'Tank Data'!$A:$A,0))),42,IF(INDEX('Tank Data'!$C:$C,MATCH(IF(ISBLANK(INDEX('Local Parameter'!$K:$K,MATCH("tank_ref",'Local Parameter'!$A:$A,0))),"WBT6",IF(INDEX('Local Parameter'!$K:$K,MATCH("tank_ref",'Local Parameter'!$A:$A,0))="","WBT6",INDEX('Local Parameter'!$K:$K,MATCH("tank_ref",'Local Parameter'!$A:$A,0)))),'Tank Data'!$A:$A,0))="",42,INDEX('Tank Data'!$C:$C,MATCH(IF(ISBLANK(INDEX('Local Parameter'!$K:$K,MATCH("tank_ref",'Local Parameter'!$A:$A,0))),"WBT6",IF(INDEX('Local Parameter'!$K:$K,MATCH("tank_ref",'Local Parameter'!$A:$A,0))="","WBT6",INDEX('Local Parameter'!$K:$K,MATCH("tank_ref",'Local Parameter'!$A:$A,0)))),'Tank Data'!$A:$A,0))))&amp;" m"&amp;" / "&amp;""&amp;IF(ISBLANK(INDEX('Tank Data'!$D:$D,MATCH(IF(ISBLANK(INDEX('Local Parameter'!$K:$K,MATCH("tank_ref",'Local Parameter'!$A:$A,0))),"WBT6",IF(INDEX('Local Parameter'!$K:$K,MATCH("tank_ref",'Local Parameter'!$A:$A,0))="","WBT6",INDEX('Local Parameter'!$K:$K,MATCH("tank_ref",'Local Parameter'!$A:$A,0)))),'Tank Data'!$A:$A,0))),32,IF(INDEX('Tank Data'!$D:$D,MATCH(IF(ISBLANK(INDEX('Local Parameter'!$K:$K,MATCH("tank_ref",'Local Parameter'!$A:$A,0))),"WBT6",IF(INDEX('Local Parameter'!$K:$K,MATCH("tank_ref",'Local Parameter'!$A:$A,0))="","WBT6",INDEX('Local Parameter'!$K:$K,MATCH("tank_ref",'Local Parameter'!$A:$A,0)))),'Tank Data'!$A:$A,0))="",32,INDEX('Tank Data'!$D:$D,MATCH(IF(ISBLANK(INDEX('Local Parameter'!$K:$K,MATCH("tank_ref",'Local Parameter'!$A:$A,0))),"WBT6",IF(INDEX('Local Parameter'!$K:$K,MATCH("tank_ref",'Local Parameter'!$A:$A,0))="","WBT6",INDEX('Local Parameter'!$K:$K,MATCH("tank_ref",'Local Parameter'!$A:$A,0)))),'Tank Data'!$A:$A,0))))&amp;" m"&amp;" / "&amp;""&amp;IF(ISBLANK(INDEX('Tank Data'!$E:$E,MATCH(IF(ISBLANK(INDEX('Local Parameter'!$K:$K,MATCH("tank_ref",'Local Parameter'!$A:$A,0))),"WBT6",IF(INDEX('Local Parameter'!$K:$K,MATCH("tank_ref",'Local Parameter'!$A:$A,0))="","WBT6",INDEX('Local Parameter'!$K:$K,MATCH("tank_ref",'Local Parameter'!$A:$A,0)))),'Tank Data'!$A:$A,0))),32,IF(INDEX('Tank Data'!$E:$E,MATCH(IF(ISBLANK(INDEX('Local Parameter'!$K:$K,MATCH("tank_ref",'Local Parameter'!$A:$A,0))),"WBT6",IF(INDEX('Local Parameter'!$K:$K,MATCH("tank_ref",'Local Parameter'!$A:$A,0))="","WBT6",INDEX('Local Parameter'!$K:$K,MATCH("tank_ref",'Local Parameter'!$A:$A,0)))),'Tank Data'!$A:$A,0))="",32,INDEX('Tank Data'!$E:$E,MATCH(IF(ISBLANK(INDEX('Local Parameter'!$K:$K,MATCH("tank_ref",'Local Parameter'!$A:$A,0))),"WBT6",IF(INDEX('Local Parameter'!$K:$K,MATCH("tank_ref",'Local Parameter'!$A:$A,0))="","WBT6",INDEX('Local Parameter'!$K:$K,MATCH("tank_ref",'Local Parameter'!$A:$A,0)))),'Tank Data'!$A:$A,0))))&amp;" m"&amp;" | Fig. 11 |"</f>
        <v/>
      </c>
      <c r="V5">
        <f>"| eta_deck / eta_overflow | "&amp;""&amp;IF(ISBLANK(INDEX('Tank Data'!$F:$F,MATCH(IF(ISBLANK(INDEX('Local Parameter'!$K:$K,MATCH("tank_ref",'Local Parameter'!$A:$A,0))),"WBT6",IF(INDEX('Local Parameter'!$K:$K,MATCH("tank_ref",'Local Parameter'!$A:$A,0))="","WBT6",INDEX('Local Parameter'!$K:$K,MATCH("tank_ref",'Local Parameter'!$A:$A,0)))),'Tank Data'!$A:$A,0))),0,IF(INDEX('Tank Data'!$F:$F,MATCH(IF(ISBLANK(INDEX('Local Parameter'!$K:$K,MATCH("tank_ref",'Local Parameter'!$A:$A,0))),"WBT6",IF(INDEX('Local Parameter'!$K:$K,MATCH("tank_ref",'Local Parameter'!$A:$A,0))="","WBT6",INDEX('Local Parameter'!$K:$K,MATCH("tank_ref",'Local Parameter'!$A:$A,0)))),'Tank Data'!$A:$A,0))="",0,INDEX('Tank Data'!$F:$F,MATCH(IF(ISBLANK(INDEX('Local Parameter'!$K:$K,MATCH("tank_ref",'Local Parameter'!$A:$A,0))),"WBT6",IF(INDEX('Local Parameter'!$K:$K,MATCH("tank_ref",'Local Parameter'!$A:$A,0))="","WBT6",INDEX('Local Parameter'!$K:$K,MATCH("tank_ref",'Local Parameter'!$A:$A,0)))),'Tank Data'!$A:$A,0))))&amp;" m"&amp;" / "&amp;""&amp;IF(ISBLANK(INDEX('Tank Data'!$G:$G,MATCH(IF(ISBLANK(INDEX('Local Parameter'!$K:$K,MATCH("tank_ref",'Local Parameter'!$A:$A,0))),"WBT6",IF(INDEX('Local Parameter'!$K:$K,MATCH("tank_ref",'Local Parameter'!$A:$A,0))="","WBT6",INDEX('Local Parameter'!$K:$K,MATCH("tank_ref",'Local Parameter'!$A:$A,0)))),'Tank Data'!$A:$A,0))),0,IF(INDEX('Tank Data'!$G:$G,MATCH(IF(ISBLANK(INDEX('Local Parameter'!$K:$K,MATCH("tank_ref",'Local Parameter'!$A:$A,0))),"WBT6",IF(INDEX('Local Parameter'!$K:$K,MATCH("tank_ref",'Local Parameter'!$A:$A,0))="","WBT6",INDEX('Local Parameter'!$K:$K,MATCH("tank_ref",'Local Parameter'!$A:$A,0)))),'Tank Data'!$A:$A,0))="",0,INDEX('Tank Data'!$G:$G,MATCH(IF(ISBLANK(INDEX('Local Parameter'!$K:$K,MATCH("tank_ref",'Local Parameter'!$A:$A,0))),"WBT6",IF(INDEX('Local Parameter'!$K:$K,MATCH("tank_ref",'Local Parameter'!$A:$A,0))="","WBT6",INDEX('Local Parameter'!$K:$K,MATCH("tank_ref",'Local Parameter'!$A:$A,0)))),'Tank Data'!$A:$A,0))))&amp;" m"&amp;" | Fig. 12 |"</f>
        <v/>
      </c>
      <c r="W5">
        <f>"| C_dp / C_ru | "&amp;""&amp;IF(ISBLANK(INDEX('Tank Data'!$H:$H,MATCH(IF(ISBLANK(INDEX('Local Parameter'!$K:$K,MATCH("tank_ref",'Local Parameter'!$A:$A,0))),"WBT6",IF(INDEX('Local Parameter'!$K:$K,MATCH("tank_ref",'Local Parameter'!$A:$A,0))="","WBT6",INDEX('Local Parameter'!$K:$K,MATCH("tank_ref",'Local Parameter'!$A:$A,0)))),'Tank Data'!$A:$A,0))),1,IF(INDEX('Tank Data'!$H:$H,MATCH(IF(ISBLANK(INDEX('Local Parameter'!$K:$K,MATCH("tank_ref",'Local Parameter'!$A:$A,0))),"WBT6",IF(INDEX('Local Parameter'!$K:$K,MATCH("tank_ref",'Local Parameter'!$A:$A,0))="","WBT6",INDEX('Local Parameter'!$K:$K,MATCH("tank_ref",'Local Parameter'!$A:$A,0)))),'Tank Data'!$A:$A,0))="",1,INDEX('Tank Data'!$H:$H,MATCH(IF(ISBLANK(INDEX('Local Parameter'!$K:$K,MATCH("tank_ref",'Local Parameter'!$A:$A,0))),"WBT6",IF(INDEX('Local Parameter'!$K:$K,MATCH("tank_ref",'Local Parameter'!$A:$A,0))="","WBT6",INDEX('Local Parameter'!$K:$K,MATCH("tank_ref",'Local Parameter'!$A:$A,0)))),'Tank Data'!$A:$A,0))))&amp;""&amp;" / "&amp;""&amp;IF(ISBLANK(INDEX('Tank Data'!$I:$I,MATCH(IF(ISBLANK(INDEX('Local Parameter'!$K:$K,MATCH("tank_ref",'Local Parameter'!$A:$A,0))),"WBT6",IF(INDEX('Local Parameter'!$K:$K,MATCH("tank_ref",'Local Parameter'!$A:$A,0))="","WBT6",INDEX('Local Parameter'!$K:$K,MATCH("tank_ref",'Local Parameter'!$A:$A,0)))),'Tank Data'!$A:$A,0))),1,IF(INDEX('Tank Data'!$I:$I,MATCH(IF(ISBLANK(INDEX('Local Parameter'!$K:$K,MATCH("tank_ref",'Local Parameter'!$A:$A,0))),"WBT6",IF(INDEX('Local Parameter'!$K:$K,MATCH("tank_ref",'Local Parameter'!$A:$A,0))="","WBT6",INDEX('Local Parameter'!$K:$K,MATCH("tank_ref",'Local Parameter'!$A:$A,0)))),'Tank Data'!$A:$A,0))="",1,INDEX('Tank Data'!$I:$I,MATCH(IF(ISBLANK(INDEX('Local Parameter'!$K:$K,MATCH("tank_ref",'Local Parameter'!$A:$A,0))),"WBT6",IF(INDEX('Local Parameter'!$K:$K,MATCH("tank_ref",'Local Parameter'!$A:$A,0))="","WBT6",INDEX('Local Parameter'!$K:$K,MATCH("tank_ref",'Local Parameter'!$A:$A,0)))),'Tank Data'!$A:$A,0))))&amp;""&amp;" | 5.7.2(d) |"</f>
        <v/>
      </c>
      <c r="X5">
        <f>"| p_vp | "&amp;""&amp;IF(ISBLANK(INDEX('Tank Data'!$J:$J,MATCH(IF(ISBLANK(INDEX('Local Parameter'!$K:$K,MATCH("tank_ref",'Local Parameter'!$A:$A,0))),"WBT6",IF(INDEX('Local Parameter'!$K:$K,MATCH("tank_ref",'Local Parameter'!$A:$A,0))="","WBT6",INDEX('Local Parameter'!$K:$K,MATCH("tank_ref",'Local Parameter'!$A:$A,0)))),'Tank Data'!$A:$A,0))),0,IF(INDEX('Tank Data'!$J:$J,MATCH(IF(ISBLANK(INDEX('Local Parameter'!$K:$K,MATCH("tank_ref",'Local Parameter'!$A:$A,0))),"WBT6",IF(INDEX('Local Parameter'!$K:$K,MATCH("tank_ref",'Local Parameter'!$A:$A,0))="","WBT6",INDEX('Local Parameter'!$K:$K,MATCH("tank_ref",'Local Parameter'!$A:$A,0)))),'Tank Data'!$A:$A,0))="",0,INDEX('Tank Data'!$J:$J,MATCH(IF(ISBLANK(INDEX('Local Parameter'!$K:$K,MATCH("tank_ref",'Local Parameter'!$A:$A,0))),"WBT6",IF(INDEX('Local Parameter'!$K:$K,MATCH("tank_ref",'Local Parameter'!$A:$A,0))="","WBT6",INDEX('Local Parameter'!$K:$K,MATCH("tank_ref",'Local Parameter'!$A:$A,0)))),'Tank Data'!$A:$A,0))))&amp;" N/cm^2"&amp;" | 成员表 Tank Data |"</f>
        <v/>
      </c>
      <c r="Y5">
        <f>"| GM_full_in / k_r_in | "&amp;""&amp;IF(ISBLANK(INDEX('Tank Data'!$K:$K,MATCH(IF(ISBLANK(INDEX('Local Parameter'!$K:$K,MATCH("tank_ref",'Local Parameter'!$A:$A,0))),"WBT6",IF(INDEX('Local Parameter'!$K:$K,MATCH("tank_ref",'Local Parameter'!$A:$A,0))="","WBT6",INDEX('Local Parameter'!$K:$K,MATCH("tank_ref",'Local Parameter'!$A:$A,0)))),'Tank Data'!$A:$A,0))),0,IF(INDEX('Tank Data'!$K:$K,MATCH(IF(ISBLANK(INDEX('Local Parameter'!$K:$K,MATCH("tank_ref",'Local Parameter'!$A:$A,0))),"WBT6",IF(INDEX('Local Parameter'!$K:$K,MATCH("tank_ref",'Local Parameter'!$A:$A,0))="","WBT6",INDEX('Local Parameter'!$K:$K,MATCH("tank_ref",'Local Parameter'!$A:$A,0)))),'Tank Data'!$A:$A,0))="",0,INDEX('Tank Data'!$K:$K,MATCH(IF(ISBLANK(INDEX('Local Parameter'!$K:$K,MATCH("tank_ref",'Local Parameter'!$A:$A,0))),"WBT6",IF(INDEX('Local Parameter'!$K:$K,MATCH("tank_ref",'Local Parameter'!$A:$A,0))="","WBT6",INDEX('Local Parameter'!$K:$K,MATCH("tank_ref",'Local Parameter'!$A:$A,0)))),'Tank Data'!$A:$A,0))))&amp;" m"&amp;" / "&amp;""&amp;IF(ISBLANK(INDEX('Tank Data'!$L:$L,MATCH(IF(ISBLANK(INDEX('Local Parameter'!$K:$K,MATCH("tank_ref",'Local Parameter'!$A:$A,0))),"WBT6",IF(INDEX('Local Parameter'!$K:$K,MATCH("tank_ref",'Local Parameter'!$A:$A,0))="","WBT6",INDEX('Local Parameter'!$K:$K,MATCH("tank_ref",'Local Parameter'!$A:$A,0)))),'Tank Data'!$A:$A,0))),0,IF(INDEX('Tank Data'!$L:$L,MATCH(IF(ISBLANK(INDEX('Local Parameter'!$K:$K,MATCH("tank_ref",'Local Parameter'!$A:$A,0))),"WBT6",IF(INDEX('Local Parameter'!$K:$K,MATCH("tank_ref",'Local Parameter'!$A:$A,0))="","WBT6",INDEX('Local Parameter'!$K:$K,MATCH("tank_ref",'Local Parameter'!$A:$A,0)))),'Tank Data'!$A:$A,0))="",0,INDEX('Tank Data'!$L:$L,MATCH(IF(ISBLANK(INDEX('Local Parameter'!$K:$K,MATCH("tank_ref",'Local Parameter'!$A:$A,0))),"WBT6",IF(INDEX('Local Parameter'!$K:$K,MATCH("tank_ref",'Local Parameter'!$A:$A,0))="","WBT6",INDEX('Local Parameter'!$K:$K,MATCH("tank_ref",'Local Parameter'!$A:$A,0)))),'Tank Data'!$A:$A,0))))&amp;" m"&amp;" | 稳性计算书 |"</f>
        <v/>
      </c>
      <c r="Z5">
        <f>"| tank_is_ballast / member_11_17 | "&amp;""&amp;IF(ISBLANK(INDEX('Tank Data'!$M:$M,MATCH(IF(ISBLANK(INDEX('Local Parameter'!$K:$K,MATCH("tank_ref",'Local Parameter'!$A:$A,0))),"WBT6",IF(INDEX('Local Parameter'!$K:$K,MATCH("tank_ref",'Local Parameter'!$A:$A,0))="","WBT6",INDEX('Local Parameter'!$K:$K,MATCH("tank_ref",'Local Parameter'!$A:$A,0)))),'Tank Data'!$A:$A,0))),1,IF(INDEX('Tank Data'!$M:$M,MATCH(IF(ISBLANK(INDEX('Local Parameter'!$K:$K,MATCH("tank_ref",'Local Parameter'!$A:$A,0))),"WBT6",IF(INDEX('Local Parameter'!$K:$K,MATCH("tank_ref",'Local Parameter'!$A:$A,0))="","WBT6",INDEX('Local Parameter'!$K:$K,MATCH("tank_ref",'Local Parameter'!$A:$A,0)))),'Tank Data'!$A:$A,0))="",1,INDEX('Tank Data'!$M:$M,MATCH(IF(ISBLANK(INDEX('Local Parameter'!$K:$K,MATCH("tank_ref",'Local Parameter'!$A:$A,0))),"WBT6",IF(INDEX('Local Parameter'!$K:$K,MATCH("tank_ref",'Local Parameter'!$A:$A,0))="","WBT6",INDEX('Local Parameter'!$K:$K,MATCH("tank_ref",'Local Parameter'!$A:$A,0)))),'Tank Data'!$A:$A,0))))&amp;""&amp;" / "&amp;""&amp;IF(ISBLANK(INDEX('Tank Data'!$N:$N,MATCH(IF(ISBLANK(INDEX('Local Parameter'!$K:$K,MATCH("tank_ref",'Local Parameter'!$A:$A,0))),"WBT6",IF(INDEX('Local Parameter'!$K:$K,MATCH("tank_ref",'Local Parameter'!$A:$A,0))="","WBT6",INDEX('Local Parameter'!$K:$K,MATCH("tank_ref",'Local Parameter'!$A:$A,0)))),'Tank Data'!$A:$A,0))),0,IF(INDEX('Tank Data'!$N:$N,MATCH(IF(ISBLANK(INDEX('Local Parameter'!$K:$K,MATCH("tank_ref",'Local Parameter'!$A:$A,0))),"WBT6",IF(INDEX('Local Parameter'!$K:$K,MATCH("tank_ref",'Local Parameter'!$A:$A,0))="","WBT6",INDEX('Local Parameter'!$K:$K,MATCH("tank_ref",'Local Parameter'!$A:$A,0)))),'Tank Data'!$A:$A,0))="",0,INDEX('Tank Data'!$N:$N,MATCH(IF(ISBLANK(INDEX('Local Parameter'!$K:$K,MATCH("tank_ref",'Local Parameter'!$A:$A,0))),"WBT6",IF(INDEX('Local Parameter'!$K:$K,MATCH("tank_ref",'Local Parameter'!$A:$A,0))="","WBT6",INDEX('Local Parameter'!$K:$K,MATCH("tank_ref",'Local Parameter'!$A:$A,0)))),'Tank Data'!$A:$A,0))))&amp;""&amp;" | Table 3 |"</f>
        <v/>
      </c>
      <c r="AA5">
        <f>"| L / B / D / d_f | "&amp;IF(ISBLANK(INDEX('Global Parameter'!$D:$D,MATCH("L",'Global Parameter'!$A:$A,0))),"",INDEX('Global Parameter'!$D:$D,MATCH("L",'Global Parameter'!$A:$A,0)))&amp;IF(ISBLANK(INDEX('Global Parameter'!$B:$B,MATCH("L",'Global Parameter'!$A:$A,0))),340,IF(INDEX('Global Parameter'!$B:$B,MATCH("L",'Global Parameter'!$A:$A,0))="",340,INDEX('Global Parameter'!$B:$B,MATCH("L",'Global Parameter'!$A:$A,0))))&amp;IF(ISBLANK(INDEX('Global Parameter'!$E:$E,MATCH("L",'Global Parameter'!$A:$A,0)))," m",IF(INDEX('Global Parameter'!$E:$E,MATCH("L",'Global Parameter'!$A:$A,0))=""," m",INDEX('Global Parameter'!$E:$E,MATCH("L",'Global Parameter'!$A:$A,0))))&amp;" / "&amp;IF(ISBLANK(INDEX('Global Parameter'!$D:$D,MATCH("B",'Global Parameter'!$A:$A,0))),"",INDEX('Global Parameter'!$D:$D,MATCH("B",'Global Parameter'!$A:$A,0)))&amp;IF(ISBLANK(INDEX('Global Parameter'!$B:$B,MATCH("B",'Global Parameter'!$A:$A,0))),64,IF(INDEX('Global Parameter'!$B:$B,MATCH("B",'Global Parameter'!$A:$A,0))="",64,INDEX('Global Parameter'!$B:$B,MATCH("B",'Global Parameter'!$A:$A,0))))&amp;IF(ISBLANK(INDEX('Global Parameter'!$E:$E,MATCH("B",'Global Parameter'!$A:$A,0)))," m",IF(INDEX('Global Parameter'!$E:$E,MATCH("B",'Global Parameter'!$A:$A,0))=""," m",INDEX('Global Parameter'!$E:$E,MATCH("B",'Global Parameter'!$A:$A,0))))&amp;" / "&amp;IF(ISBLANK(INDEX('Global Parameter'!$D:$D,MATCH("D",'Global Parameter'!$A:$A,0))),"",INDEX('Global Parameter'!$D:$D,MATCH("D",'Global Parameter'!$A:$A,0)))&amp;IF(ISBLANK(INDEX('Global Parameter'!$B:$B,MATCH("D",'Global Parameter'!$A:$A,0))),32,IF(INDEX('Global Parameter'!$B:$B,MATCH("D",'Global Parameter'!$A:$A,0))="",32,INDEX('Global Parameter'!$B:$B,MATCH("D",'Global Parameter'!$A:$A,0))))&amp;IF(ISBLANK(INDEX('Global Parameter'!$E:$E,MATCH("D",'Global Parameter'!$A:$A,0)))," m",IF(INDEX('Global Parameter'!$E:$E,MATCH("D",'Global Parameter'!$A:$A,0))=""," m",INDEX('Global Parameter'!$E:$E,MATCH("D",'Global Parameter'!$A:$A,0))))&amp;" / "&amp;IF(ISBLANK(INDEX('Global Parameter'!$D:$D,MATCH("d_f",'Global Parameter'!$A:$A,0))),"",INDEX('Global Parameter'!$D:$D,MATCH("d_f",'Global Parameter'!$A:$A,0)))&amp;IF(ISBLANK(INDEX('Global Parameter'!$B:$B,MATCH("d_f",'Global Parameter'!$A:$A,0))),20.559,IF(INDEX('Global Parameter'!$B:$B,MATCH("d_f",'Global Parameter'!$A:$A,0))="",20.559,INDEX('Global Parameter'!$B:$B,MATCH("d_f",'Global Parameter'!$A:$A,0))))&amp;IF(ISBLANK(INDEX('Global Parameter'!$E:$E,MATCH("d_f",'Global Parameter'!$A:$A,0)))," m",IF(INDEX('Global Parameter'!$E:$E,MATCH("d_f",'Global Parameter'!$A:$A,0))=""," m",INDEX('Global Parameter'!$E:$E,MATCH("d_f",'Global Parameter'!$A:$A,0))))&amp;" | 3-1-1/3 |"</f>
        <v/>
      </c>
      <c r="AB5">
        <f>"| rho_sea / g / Cb | "&amp;IF(ISBLANK(INDEX('Global Parameter'!$D:$D,MATCH("rho_sea",'Global Parameter'!$A:$A,0))),"",INDEX('Global Parameter'!$D:$D,MATCH("rho_sea",'Global Parameter'!$A:$A,0)))&amp;IF(ISBLANK(INDEX('Global Parameter'!$B:$B,MATCH("rho_sea",'Global Parameter'!$A:$A,0))),1025,IF(INDEX('Global Parameter'!$B:$B,MATCH("rho_sea",'Global Parameter'!$A:$A,0))="",1025,INDEX('Global Parameter'!$B:$B,MATCH("rho_sea",'Global Parameter'!$A:$A,0))))&amp;IF(ISBLANK(INDEX('Global Parameter'!$E:$E,MATCH("rho_sea",'Global Parameter'!$A:$A,0)))," kg/m^3",IF(INDEX('Global Parameter'!$E:$E,MATCH("rho_sea",'Global Parameter'!$A:$A,0))=""," kg/m^3",INDEX('Global Parameter'!$E:$E,MATCH("rho_sea",'Global Parameter'!$A:$A,0))))&amp;" / "&amp;IF(ISBLANK(INDEX('Global Parameter'!$D:$D,MATCH("g",'Global Parameter'!$A:$A,0))),"",INDEX('Global Parameter'!$D:$D,MATCH("g",'Global Parameter'!$A:$A,0)))&amp;IF(ISBLANK(INDEX('Global Parameter'!$B:$B,MATCH("g",'Global Parameter'!$A:$A,0))),9.81,IF(INDEX('Global Parameter'!$B:$B,MATCH("g",'Global Parameter'!$A:$A,0))="",9.81,INDEX('Global Parameter'!$B:$B,MATCH("g",'Global Parameter'!$A:$A,0))))&amp;IF(ISBLANK(INDEX('Global Parameter'!$E:$E,MATCH("g",'Global Parameter'!$A:$A,0)))," m/s^2",IF(INDEX('Global Parameter'!$E:$E,MATCH("g",'Global Parameter'!$A:$A,0))=""," m/s^2",INDEX('Global Parameter'!$E:$E,MATCH("g",'Global Parameter'!$A:$A,0))))&amp;" / "&amp;IF(ISBLANK(INDEX('Global Parameter'!$D:$D,MATCH("Cb",'Global Parameter'!$A:$A,0))),"",INDEX('Global Parameter'!$D:$D,MATCH("Cb",'Global Parameter'!$A:$A,0)))&amp;IF(ISBLANK(INDEX('Global Parameter'!$B:$B,MATCH("Cb",'Global Parameter'!$A:$A,0))),1,IF(INDEX('Global Parameter'!$B:$B,MATCH("Cb",'Global Parameter'!$A:$A,0))="",1,INDEX('Global Parameter'!$B:$B,MATCH("Cb",'Global Parameter'!$A:$A,0))))&amp;IF(ISBLANK(INDEX('Global Parameter'!$E:$E,MATCH("Cb",'Global Parameter'!$A:$A,0))),"",INDEX('Global Parameter'!$E:$E,MATCH("Cb",'Global Parameter'!$A:$A,0)))&amp;" | 5.7.1 |"</f>
        <v/>
      </c>
      <c r="AC5">
        <f>"| rho_g_lo / rho_g_hi | "&amp;IF(ISBLANK(INDEX('Global Parameter'!$D:$D,MATCH("rho_g_lo",'Global Parameter'!$A:$A,0))),"",INDEX('Global Parameter'!$D:$D,MATCH("rho_g_lo",'Global Parameter'!$A:$A,0)))&amp;IF(ISBLANK(INDEX('Global Parameter'!$B:$B,MATCH("rho_g_lo",'Global Parameter'!$A:$A,0))),10050,IF(INDEX('Global Parameter'!$B:$B,MATCH("rho_g_lo",'Global Parameter'!$A:$A,0))="",10050,INDEX('Global Parameter'!$B:$B,MATCH("rho_g_lo",'Global Parameter'!$A:$A,0))))&amp;IF(ISBLANK(INDEX('Global Parameter'!$E:$E,MATCH("rho_g_lo",'Global Parameter'!$A:$A,0)))," N/m^3",IF(INDEX('Global Parameter'!$E:$E,MATCH("rho_g_lo",'Global Parameter'!$A:$A,0))=""," N/m^3",INDEX('Global Parameter'!$E:$E,MATCH("rho_g_lo",'Global Parameter'!$A:$A,0))))&amp;" / "&amp;IF(ISBLANK(INDEX('Global Parameter'!$D:$D,MATCH("rho_g_hi",'Global Parameter'!$A:$A,0))),"",INDEX('Global Parameter'!$D:$D,MATCH("rho_g_hi",'Global Parameter'!$A:$A,0)))&amp;IF(ISBLANK(INDEX('Global Parameter'!$B:$B,MATCH("rho_g_hi",'Global Parameter'!$A:$A,0))),11180,IF(INDEX('Global Parameter'!$B:$B,MATCH("rho_g_hi",'Global Parameter'!$A:$A,0))="",11180,INDEX('Global Parameter'!$B:$B,MATCH("rho_g_hi",'Global Parameter'!$A:$A,0))))&amp;IF(ISBLANK(INDEX('Global Parameter'!$E:$E,MATCH("rho_g_hi",'Global Parameter'!$A:$A,0)))," N/m^3",IF(INDEX('Global Parameter'!$E:$E,MATCH("rho_g_hi",'Global Parameter'!$A:$A,0))=""," N/m^3",INDEX('Global Parameter'!$E:$E,MATCH("rho_g_hi",'Global Parameter'!$A:$A,0))))&amp;" | 5.7.2(a) |"</f>
        <v/>
      </c>
      <c r="AD5">
        <f>"| axis ax | ("&amp;IF(ISBLANK(INDEX('Global Parameter'!$D:$D,MATCH("ax_x",'Global Parameter'!$A:$A,0))),"",INDEX('Global Parameter'!$D:$D,MATCH("ax_x",'Global Parameter'!$A:$A,0)))&amp;IF(ISBLANK(INDEX('Global Parameter'!$B:$B,MATCH("ax_x",'Global Parameter'!$A:$A,0))),"1",IF(INDEX('Global Parameter'!$B:$B,MATCH("ax_x",'Global Parameter'!$A:$A,0))="","1",INDEX('Global Parameter'!$B:$B,MATCH("ax_x",'Global Parameter'!$A:$A,0))))&amp;IF(ISBLANK(INDEX('Global Parameter'!$E:$E,MATCH("ax_x",'Global Parameter'!$A:$A,0))),"",INDEX('Global Parameter'!$E:$E,MATCH("ax_x",'Global Parameter'!$A:$A,0)))&amp;", "&amp;IF(ISBLANK(INDEX('Global Parameter'!$D:$D,MATCH("ax_y",'Global Parameter'!$A:$A,0))),"",INDEX('Global Parameter'!$D:$D,MATCH("ax_y",'Global Parameter'!$A:$A,0)))&amp;IF(ISBLANK(INDEX('Global Parameter'!$B:$B,MATCH("ax_y",'Global Parameter'!$A:$A,0))),"2",IF(INDEX('Global Parameter'!$B:$B,MATCH("ax_y",'Global Parameter'!$A:$A,0))="","2",INDEX('Global Parameter'!$B:$B,MATCH("ax_y",'Global Parameter'!$A:$A,0))))&amp;IF(ISBLANK(INDEX('Global Parameter'!$E:$E,MATCH("ax_y",'Global Parameter'!$A:$A,0))),"",INDEX('Global Parameter'!$E:$E,MATCH("ax_y",'Global Parameter'!$A:$A,0)))&amp;", "&amp;IF(ISBLANK(INDEX('Global Parameter'!$D:$D,MATCH("ax_z",'Global Parameter'!$A:$A,0))),"",INDEX('Global Parameter'!$D:$D,MATCH("ax_z",'Global Parameter'!$A:$A,0)))&amp;IF(ISBLANK(INDEX('Global Parameter'!$B:$B,MATCH("ax_z",'Global Parameter'!$A:$A,0))),"3",IF(INDEX('Global Parameter'!$B:$B,MATCH("ax_z",'Global Parameter'!$A:$A,0))="","3",INDEX('Global Parameter'!$B:$B,MATCH("ax_z",'Global Parameter'!$A:$A,0))))&amp;IF(ISBLANK(INDEX('Global Parameter'!$E:$E,MATCH("ax_z",'Global Parameter'!$A:$A,0))),"",INDEX('Global Parameter'!$E:$E,MATCH("ax_z",'Global Parameter'!$A:$A,0)))&amp;") | 模型 |"</f>
        <v/>
      </c>
      <c r="AE5">
        <f>"| axis neg | ("&amp;IF(ISBLANK(INDEX('Global Parameter'!$D:$D,MATCH("neg_x",'Global Parameter'!$A:$A,0))),"",INDEX('Global Parameter'!$D:$D,MATCH("neg_x",'Global Parameter'!$A:$A,0)))&amp;IF(ISBLANK(INDEX('Global Parameter'!$B:$B,MATCH("neg_x",'Global Parameter'!$A:$A,0))),"",INDEX('Global Parameter'!$B:$B,MATCH("neg_x",'Global Parameter'!$A:$A,0)))&amp;IF(ISBLANK(INDEX('Global Parameter'!$E:$E,MATCH("neg_x",'Global Parameter'!$A:$A,0))),"",INDEX('Global Parameter'!$E:$E,MATCH("neg_x",'Global Parameter'!$A:$A,0)))&amp;" / "&amp;IF(ISBLANK(INDEX('Global Parameter'!$D:$D,MATCH("neg_y",'Global Parameter'!$A:$A,0))),"",INDEX('Global Parameter'!$D:$D,MATCH("neg_y",'Global Parameter'!$A:$A,0)))&amp;IF(ISBLANK(INDEX('Global Parameter'!$B:$B,MATCH("neg_y",'Global Parameter'!$A:$A,0))),"",INDEX('Global Parameter'!$B:$B,MATCH("neg_y",'Global Parameter'!$A:$A,0)))&amp;IF(ISBLANK(INDEX('Global Parameter'!$E:$E,MATCH("neg_y",'Global Parameter'!$A:$A,0))),"",INDEX('Global Parameter'!$E:$E,MATCH("neg_y",'Global Parameter'!$A:$A,0)))&amp;" / "&amp;IF(ISBLANK(INDEX('Global Parameter'!$D:$D,MATCH("neg_z",'Global Parameter'!$A:$A,0))),"",INDEX('Global Parameter'!$D:$D,MATCH("neg_z",'Global Parameter'!$A:$A,0)))&amp;IF(ISBLANK(INDEX('Global Parameter'!$B:$B,MATCH("neg_z",'Global Parameter'!$A:$A,0))),"",INDEX('Global Parameter'!$B:$B,MATCH("neg_z",'Global Parameter'!$A:$A,0)))&amp;IF(ISBLANK(INDEX('Global Parameter'!$E:$E,MATCH("neg_z",'Global Parameter'!$A:$A,0))),"",INDEX('Global Parameter'!$E:$E,MATCH("neg_z",'Global Parameter'!$A:$A,0)))&amp;") | 模型 |"</f>
        <v/>
      </c>
    </row>
    <row r="6"/>
    <row r="7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11"/>
  <sheetViews>
    <sheetView workbookViewId="0">
      <selection activeCell="A1" sqref="A1"/>
    </sheetView>
  </sheetViews>
  <sheetFormatPr baseColWidth="8" defaultRowHeight="15"/>
  <cols>
    <col width="12" customWidth="1" min="1" max="1"/>
    <col width="110" customWidth="1" min="2" max="2"/>
  </cols>
  <sheetData>
    <row r="1">
      <c r="A1" s="10" t="inlineStr">
        <is>
          <t>!! 只读参考：模板真源是 YAML / template_file；在这里改模板不会影响渲染结果</t>
        </is>
      </c>
    </row>
    <row r="2">
      <c r="A2" s="11" t="inlineStr">
        <is>
          <t>### genie_ext</t>
        </is>
      </c>
    </row>
    <row r="3">
      <c r="A3" t="inlineStr">
        <is>
          <t>output_sheet</t>
        </is>
      </c>
      <c r="B3" t="inlineStr">
        <is>
          <t>Code EXT</t>
        </is>
      </c>
    </row>
    <row r="4">
      <c r="A4" t="inlineStr">
        <is>
          <t>start_cell</t>
        </is>
      </c>
      <c r="B4" t="inlineStr">
        <is>
          <t>B2</t>
        </is>
      </c>
    </row>
    <row r="5">
      <c r="A5" t="inlineStr">
        <is>
          <t>direction</t>
        </is>
      </c>
      <c r="B5" t="inlineStr">
        <is>
          <t>horizontal</t>
        </is>
      </c>
    </row>
    <row r="6">
      <c r="A6" t="inlineStr">
        <is>
          <t>filename</t>
        </is>
      </c>
      <c r="B6" t="inlineStr">
        <is>
          <t>{{ case_name }}.js</t>
        </is>
      </c>
    </row>
    <row r="7">
      <c r="A7" t="inlineStr">
        <is>
          <t>extension</t>
        </is>
      </c>
      <c r="B7" t="inlineStr">
        <is>
          <t>.txt</t>
        </is>
      </c>
    </row>
    <row r="8">
      <c r="A8" t="inlineStr">
        <is>
          <t>description</t>
        </is>
      </c>
      <c r="B8" t="inlineStr">
        <is>
          <t>ABS FPI 5A-3-2/5.5 外压 -- GeniE 强度函数体</t>
        </is>
      </c>
    </row>
    <row r="9">
      <c r="A9" s="11" t="inlineStr">
        <is>
          <t>code ↓</t>
        </is>
      </c>
    </row>
    <row r="10">
      <c r="A10" t="n">
        <v>1</v>
      </c>
      <c r="B10" t="inlineStr">
        <is>
          <t>// {{ case_name }}</t>
        </is>
      </c>
    </row>
    <row r="11">
      <c r="A11" t="n">
        <v>2</v>
      </c>
      <c r="B11" t="inlineStr">
        <is>
          <t>// The rules live in the RULE frame: x from the A.P., y from the centre line</t>
        </is>
      </c>
    </row>
    <row r="12">
      <c r="A12" t="n">
        <v>3</v>
      </c>
      <c r="B12" t="inlineStr">
        <is>
          <t>// positive starboard, z above the baseline.  The model usually is not, so the</t>
        </is>
      </c>
    </row>
    <row r="13">
      <c r="A13" t="n">
        <v>4</v>
      </c>
      <c r="B13" t="inlineStr">
        <is>
          <t>// three mapping cells (ax_* / neg_*) convert it.  All three coordinates go</t>
        </is>
      </c>
    </row>
    <row r="14">
      <c r="A14" t="n">
        <v>5</v>
      </c>
      <c r="B14" t="inlineStr">
        <is>
          <t>// through temporaries first: assigning them in place would read a coordinate</t>
        </is>
      </c>
    </row>
    <row r="15">
      <c r="A15" t="n">
        <v>6</v>
      </c>
      <c r="B15" t="inlineStr">
        <is>
          <t>// that has already been overwritten.</t>
        </is>
      </c>
    </row>
    <row r="16">
      <c r="A16" t="n">
        <v>7</v>
      </c>
      <c r="B16" t="inlineStr">
        <is>
          <t>var t1 = x;</t>
        </is>
      </c>
    </row>
    <row r="17">
      <c r="A17" t="n">
        <v>8</v>
      </c>
      <c r="B17" t="inlineStr">
        <is>
          <t>var t2 = y;</t>
        </is>
      </c>
    </row>
    <row r="18">
      <c r="A18" t="n">
        <v>9</v>
      </c>
      <c r="B18" t="inlineStr">
        <is>
          <t>var t3 = z;</t>
        </is>
      </c>
    </row>
    <row r="19">
      <c r="A19" t="n">
        <v>10</v>
      </c>
      <c r="B19" t="inlineStr">
        <is>
          <t>x = {{ neg_x }}t{{ ax_x }};</t>
        </is>
      </c>
    </row>
    <row r="20">
      <c r="A20" t="n">
        <v>11</v>
      </c>
      <c r="B20" t="inlineStr">
        <is>
          <t>y = {{ neg_y }}t{{ ax_y }};</t>
        </is>
      </c>
    </row>
    <row r="21">
      <c r="A21" t="n">
        <v>12</v>
      </c>
      <c r="B21" t="inlineStr">
        <is>
          <t>z = {{ neg_z }}t{{ ax_z }};</t>
        </is>
      </c>
    </row>
    <row r="22">
      <c r="A22" t="n">
        <v>13</v>
      </c>
      <c r="B22" t="inlineStr">
        <is>
          <t>// --- global parameters (same for every case)</t>
        </is>
      </c>
    </row>
    <row r="23">
      <c r="A23" t="n">
        <v>14</v>
      </c>
      <c r="B23" t="inlineStr">
        <is>
          <t>var L = {{ L }};</t>
        </is>
      </c>
    </row>
    <row r="24">
      <c r="A24" t="n">
        <v>15</v>
      </c>
      <c r="B24" t="inlineStr">
        <is>
          <t>var B = {{ B }};</t>
        </is>
      </c>
    </row>
    <row r="25">
      <c r="A25" t="n">
        <v>16</v>
      </c>
      <c r="B25" t="inlineStr">
        <is>
          <t>var D = {{ D }};</t>
        </is>
      </c>
    </row>
    <row r="26">
      <c r="A26" t="n">
        <v>17</v>
      </c>
      <c r="B26" t="inlineStr">
        <is>
          <t>var r_b = {{ r_b }};</t>
        </is>
      </c>
    </row>
    <row r="27">
      <c r="A27" t="n">
        <v>18</v>
      </c>
      <c r="B27" t="inlineStr">
        <is>
          <t>var freeboard = {{ freeboard }};</t>
        </is>
      </c>
    </row>
    <row r="28">
      <c r="A28" t="n">
        <v>19</v>
      </c>
      <c r="B28" t="inlineStr">
        <is>
          <t>var rho_sea = {{ rho_sea }};</t>
        </is>
      </c>
    </row>
    <row r="29">
      <c r="A29" t="n">
        <v>20</v>
      </c>
      <c r="B29" t="inlineStr">
        <is>
          <t>var g = {{ g }};</t>
        </is>
      </c>
    </row>
    <row r="30">
      <c r="A30" t="n">
        <v>21</v>
      </c>
      <c r="B30" t="inlineStr">
        <is>
          <t>var Cb = {{ Cb }};</t>
        </is>
      </c>
    </row>
    <row r="31">
      <c r="A31" t="n">
        <v>22</v>
      </c>
      <c r="B31" t="inlineStr">
        <is>
          <t>// --- this case</t>
        </is>
      </c>
    </row>
    <row r="32">
      <c r="A32" t="n">
        <v>23</v>
      </c>
      <c r="B32" t="inlineStr">
        <is>
          <t>var draft = {{ draft }};</t>
        </is>
      </c>
    </row>
    <row r="33">
      <c r="A33" t="n">
        <v>24</v>
      </c>
      <c r="B33" t="inlineStr">
        <is>
          <t>var mu_deg = {{ mu_deg }};</t>
        </is>
      </c>
    </row>
    <row r="34">
      <c r="A34" t="n">
        <v>25</v>
      </c>
      <c r="B34" t="inlineStr">
        <is>
          <t>var k_c = {{ k_c }};</t>
        </is>
      </c>
    </row>
    <row r="35">
      <c r="A35" t="n">
        <v>26</v>
      </c>
      <c r="B35" t="inlineStr">
        <is>
          <t>var k_f0 = {{ k_f0 }};</t>
        </is>
      </c>
    </row>
    <row r="36">
      <c r="A36" t="n">
        <v>27</v>
      </c>
      <c r="B36" t="inlineStr">
        <is>
          <t>var k_u = {{ k_u }};</t>
        </is>
      </c>
    </row>
    <row r="37">
      <c r="A37" t="n">
        <v>28</v>
      </c>
      <c r="B37" t="inlineStr">
        <is>
          <t>var beta_EPS = {{ beta_EPS }};</t>
        </is>
      </c>
    </row>
    <row r="38">
      <c r="A38" t="n">
        <v>29</v>
      </c>
      <c r="B38" t="inlineStr">
        <is>
          <t>var beta_EPP = {{ beta_EPP }};</t>
        </is>
      </c>
    </row>
    <row r="39">
      <c r="A39" t="n">
        <v>30</v>
      </c>
      <c r="B39" t="inlineStr">
        <is>
          <t>var k_esf = {{ k_esf }};</t>
        </is>
      </c>
    </row>
    <row r="40">
      <c r="A40" t="n">
        <v>31</v>
      </c>
      <c r="B40" t="inlineStr">
        <is>
          <t>var x_o = {{ x_o }};</t>
        </is>
      </c>
    </row>
    <row r="41">
      <c r="A41" t="n">
        <v>32</v>
      </c>
      <c r="B41" t="inlineStr">
        <is>
          <t>// --- the calculation</t>
        </is>
      </c>
    </row>
    <row r="42">
      <c r="A42" t="n">
        <v>33</v>
      </c>
      <c r="B42" t="inlineStr">
        <is>
          <t>var u = mu_deg;   // the heading, as an Angle -- cos/sin take it directly</t>
        </is>
      </c>
    </row>
    <row r="43">
      <c r="A43" t="n">
        <v>34</v>
      </c>
      <c r="B43" t="inlineStr">
        <is>
          <t>var C_1 = 0;   // wave coefficient, 0 until a length bracket matches</t>
        </is>
      </c>
    </row>
    <row r="44">
      <c r="A44" t="n">
        <v>35</v>
      </c>
      <c r="B44" t="inlineStr">
        <is>
          <t>// C_1 brackets of 3-2-1/3.5, closed at both ends; outside them C_1 is zero</t>
        </is>
      </c>
    </row>
    <row r="45">
      <c r="A45" t="n">
        <v>36</v>
      </c>
      <c r="B45" t="inlineStr">
        <is>
          <t>if      (L &gt;= 61 m  &amp;&amp; L &lt;= 90 m ) C_1 = 0.044 * (L / 1 m) + 3.75;</t>
        </is>
      </c>
    </row>
    <row r="46">
      <c r="A46" t="n">
        <v>37</v>
      </c>
      <c r="B46" t="inlineStr">
        <is>
          <t>else if (L &gt;  90 m  &amp;&amp; L &lt;  300 m) C_1 = 10.75 - Math.pow((300 m - L) / 100 m, 1.5);</t>
        </is>
      </c>
    </row>
    <row r="47">
      <c r="A47" t="n">
        <v>38</v>
      </c>
      <c r="B47" t="inlineStr">
        <is>
          <t>else if (L &gt;= 300 m &amp;&amp; L &lt;  350 m) C_1 = 10.75;</t>
        </is>
      </c>
    </row>
    <row r="48">
      <c r="A48" t="n">
        <v>39</v>
      </c>
      <c r="B48" t="inlineStr">
        <is>
          <t>else if (L &gt;= 350 m &amp;&amp; L &lt;= 500 m) C_1 = 10.75 - Math.pow((L - 350 m) / 150 m, 1.5);</t>
        </is>
      </c>
    </row>
    <row r="49">
      <c r="A49" t="n">
        <v>40</v>
      </c>
      <c r="B49" t="inlineStr">
        <is>
          <t>else                               C_1 = 0;</t>
        </is>
      </c>
    </row>
    <row r="50">
      <c r="A50" t="n">
        <v>41</v>
      </c>
      <c r="B50" t="inlineStr">
        <is>
          <t>var h_do = 1.36 * C_1 * 1 m;   // reference hydrodynamic head, k = 1 (5.5.1)</t>
        </is>
      </c>
    </row>
    <row r="51">
      <c r="A51" t="n">
        <v>42</v>
      </c>
      <c r="B51" t="inlineStr">
        <is>
          <t>var z_bilge = r_b;   // rule z of the bilge (the bilge radius)</t>
        </is>
      </c>
    </row>
    <row r="52">
      <c r="A52" t="n">
        <v>43</v>
      </c>
      <c r="B52" t="inlineStr">
        <is>
          <t>var z_freeboard = D - freeboard;   // rule z of the highest deck at side</t>
        </is>
      </c>
    </row>
    <row r="53">
      <c r="A53" t="n">
        <v>44</v>
      </c>
      <c r="B53" t="inlineStr">
        <is>
          <t>var xL = x / L;   // x / L, dimensionless</t>
        </is>
      </c>
    </row>
    <row r="54">
      <c r="A54" t="n">
        <v>45</v>
      </c>
      <c r="B54" t="inlineStr">
        <is>
          <t>var k_lo = 1;   // k_lo = 1.0 amidships</t>
        </is>
      </c>
    </row>
    <row r="55">
      <c r="A55" t="n">
        <v>46</v>
      </c>
      <c r="B55" t="inlineStr">
        <is>
          <t>// Fig. 9: k_lo = 1 amidships, rising towards both ends</t>
        </is>
      </c>
    </row>
    <row r="56">
      <c r="A56" t="n">
        <v>47</v>
      </c>
      <c r="B56" t="inlineStr">
        <is>
          <t>if      (xL &lt; 0.2) k_lo = 1.5 - xL * 2.5;</t>
        </is>
      </c>
    </row>
    <row r="57">
      <c r="A57" t="n">
        <v>48</v>
      </c>
      <c r="B57" t="inlineStr">
        <is>
          <t>else if (xL &gt; 0.7) k_lo = 1 + (xL - 0.7) * 5;</t>
        </is>
      </c>
    </row>
    <row r="58">
      <c r="A58" t="n">
        <v>49</v>
      </c>
      <c r="B58" t="inlineStr">
        <is>
          <t>else               k_lo = 1;</t>
        </is>
      </c>
    </row>
    <row r="59">
      <c r="A59" t="n">
        <v>50</v>
      </c>
      <c r="B59" t="inlineStr">
        <is>
          <t>var k_l = 1 + (k_lo - 1) * Math.cos(u);   // k_l = 1 + (k_lo - 1) cos mu; GeniE converts the angle inside cos</t>
        </is>
      </c>
    </row>
    <row r="60">
      <c r="A60" t="n">
        <v>51</v>
      </c>
      <c r="B60" t="inlineStr">
        <is>
          <t>var k_f = k_f0 * (1 - (1 - Math.cos((x - x_o) / L * 360 deg)) * Math.cos(u));   // k_f, the reference station against the wave</t>
        </is>
      </c>
    </row>
    <row r="61">
      <c r="A61" t="n">
        <v>52</v>
      </c>
      <c r="B61" t="inlineStr">
        <is>
          <t>var alpha_1 = (1 - 0.25 * Math.cos(u)) * k_f;   // i = 1, at the waterline, starboard</t>
        </is>
      </c>
    </row>
    <row r="62">
      <c r="A62" t="n">
        <v>53</v>
      </c>
      <c r="B62" t="inlineStr">
        <is>
          <t>var alpha_2 = (0.40 - 0.10 * Math.cos(u)) * k_f;   // i = 2, at the bilge, starboard</t>
        </is>
      </c>
    </row>
    <row r="63">
      <c r="A63" t="n">
        <v>54</v>
      </c>
      <c r="B63" t="inlineStr">
        <is>
          <t>var alpha_3 = (0.30 - 0.20 * Math.sin(u)) * k_f;   // i = 3, at the bottom centre line</t>
        </is>
      </c>
    </row>
    <row r="64">
      <c r="A64" t="n">
        <v>55</v>
      </c>
      <c r="B64" t="inlineStr">
        <is>
          <t>var alpha_5 = (0.75 - 1.25 * Math.sin(u)) * k_f;   // i = 5, at the waterline, port</t>
        </is>
      </c>
    </row>
    <row r="65">
      <c r="A65" t="n">
        <v>56</v>
      </c>
      <c r="B65" t="inlineStr">
        <is>
          <t>var alpha_4 = 2 * alpha_3 - alpha_2;   // i = 4 = 2 alpha_3 - alpha_2, at the bilge, port</t>
        </is>
      </c>
    </row>
    <row r="66">
      <c r="A66" t="n">
        <v>57</v>
      </c>
      <c r="B66" t="inlineStr">
        <is>
          <t>var h_d1 = k_l * alpha_1 * h_do;   // hydrodynamic head at i = 1</t>
        </is>
      </c>
    </row>
    <row r="67">
      <c r="A67" t="n">
        <v>58</v>
      </c>
      <c r="B67" t="inlineStr">
        <is>
          <t>var h_d5 = k_l * alpha_5 * h_do;   // hydrodynamic head at i = 5</t>
        </is>
      </c>
    </row>
    <row r="68">
      <c r="A68" t="n">
        <v>59</v>
      </c>
      <c r="B68" t="inlineStr">
        <is>
          <t>var h_star_s = Math.min(z_freeboard - draft, k_u * h_d1);   // Fig. 10: the head above the waterline, capped at the freeboard, starboard</t>
        </is>
      </c>
    </row>
    <row r="69">
      <c r="A69" t="n">
        <v>60</v>
      </c>
      <c r="B69" t="inlineStr">
        <is>
          <t>var h_star_p = Math.min(z_freeboard - draft, k_u * h_d5);   // Fig. 10: the head above the waterline, capped at the freeboard, port</t>
        </is>
      </c>
    </row>
    <row r="70">
      <c r="A70" t="n">
        <v>61</v>
      </c>
      <c r="B70" t="inlineStr">
        <is>
          <t>var alpha_i = 0;   // alpha at the point evaluated, assigned by the girth branches</t>
        </is>
      </c>
    </row>
    <row r="71">
      <c r="A71" t="n">
        <v>62</v>
      </c>
      <c r="B71" t="inlineStr">
        <is>
          <t>// Fig. 8: alpha at the point evaluated</t>
        </is>
      </c>
    </row>
    <row r="72">
      <c r="A72" t="n">
        <v>63</v>
      </c>
      <c r="B72" t="inlineStr">
        <is>
          <t>if (z &gt;= z_bilge) {</t>
        </is>
      </c>
    </row>
    <row r="73">
      <c r="A73" t="n">
        <v>64</v>
      </c>
      <c r="B73" t="inlineStr">
        <is>
          <t xml:space="preserve">    if (z &lt;= draft) {</t>
        </is>
      </c>
    </row>
    <row r="74">
      <c r="A74" t="n">
        <v>65</v>
      </c>
      <c r="B74" t="inlineStr">
        <is>
          <t xml:space="preserve">        // bilge to waterline, on the side of the girth the point is on</t>
        </is>
      </c>
    </row>
    <row r="75">
      <c r="A75" t="n">
        <v>66</v>
      </c>
      <c r="B75" t="inlineStr">
        <is>
          <t xml:space="preserve">        if (y &gt;= 0 m) alpha_i = alpha_2 + (alpha_1 - alpha_2) * (z - z_bilge) / (draft - z_bilge);</t>
        </is>
      </c>
    </row>
    <row r="76">
      <c r="A76" t="n">
        <v>67</v>
      </c>
      <c r="B76" t="inlineStr">
        <is>
          <t xml:space="preserve">        else          alpha_i = alpha_4 + (alpha_5 - alpha_4) * (z - z_bilge) / (draft - z_bilge);</t>
        </is>
      </c>
    </row>
    <row r="77">
      <c r="A77" t="n">
        <v>68</v>
      </c>
      <c r="B77" t="inlineStr">
        <is>
          <t xml:space="preserve">    } else {</t>
        </is>
      </c>
    </row>
    <row r="78">
      <c r="A78" t="n">
        <v>69</v>
      </c>
      <c r="B78" t="inlineStr">
        <is>
          <t xml:space="preserve">        // above the waterline, faded out over that side's h_star</t>
        </is>
      </c>
    </row>
    <row r="79">
      <c r="A79" t="n">
        <v>70</v>
      </c>
      <c r="B79" t="inlineStr">
        <is>
          <t xml:space="preserve">        if (y &gt;= 0 m) {</t>
        </is>
      </c>
    </row>
    <row r="80">
      <c r="A80" t="n">
        <v>71</v>
      </c>
      <c r="B80" t="inlineStr">
        <is>
          <t xml:space="preserve">            if (h_star_s &lt;= 0 m) alpha_i = 0;</t>
        </is>
      </c>
    </row>
    <row r="81">
      <c r="A81" t="n">
        <v>72</v>
      </c>
      <c r="B81" t="inlineStr">
        <is>
          <t xml:space="preserve">            else                 alpha_i = alpha_1 - (z - draft) / h_star_s * alpha_1;</t>
        </is>
      </c>
    </row>
    <row r="82">
      <c r="A82" t="n">
        <v>73</v>
      </c>
      <c r="B82" t="inlineStr">
        <is>
          <t xml:space="preserve">        } else {</t>
        </is>
      </c>
    </row>
    <row r="83">
      <c r="A83" t="n">
        <v>74</v>
      </c>
      <c r="B83" t="inlineStr">
        <is>
          <t xml:space="preserve">            if (h_star_p &lt;= 0 m) alpha_i = 0;</t>
        </is>
      </c>
    </row>
    <row r="84">
      <c r="A84" t="n">
        <v>75</v>
      </c>
      <c r="B84" t="inlineStr">
        <is>
          <t xml:space="preserve">            else                 alpha_i = alpha_5 - (z - draft) / h_star_p * alpha_5;</t>
        </is>
      </c>
    </row>
    <row r="85">
      <c r="A85" t="n">
        <v>76</v>
      </c>
      <c r="B85" t="inlineStr">
        <is>
          <t xml:space="preserve">        }</t>
        </is>
      </c>
    </row>
    <row r="86">
      <c r="A86" t="n">
        <v>77</v>
      </c>
      <c r="B86" t="inlineStr">
        <is>
          <t xml:space="preserve">    }</t>
        </is>
      </c>
    </row>
    <row r="87">
      <c r="A87" t="n">
        <v>78</v>
      </c>
      <c r="B87" t="inlineStr">
        <is>
          <t>} else {</t>
        </is>
      </c>
    </row>
    <row r="88">
      <c r="A88" t="n">
        <v>79</v>
      </c>
      <c r="B88" t="inlineStr">
        <is>
          <t xml:space="preserve">    // below the bilge: linear across the flat of bottom</t>
        </is>
      </c>
    </row>
    <row r="89">
      <c r="A89" t="n">
        <v>80</v>
      </c>
      <c r="B89" t="inlineStr">
        <is>
          <t xml:space="preserve">    alpha_i = alpha_4 + (alpha_2 - alpha_4) * (z + z_bilge) / (2 * z_bilge);</t>
        </is>
      </c>
    </row>
    <row r="90">
      <c r="A90" t="n">
        <v>81</v>
      </c>
      <c r="B90" t="inlineStr">
        <is>
          <t>}</t>
        </is>
      </c>
    </row>
    <row r="91">
      <c r="A91" t="n">
        <v>82</v>
      </c>
      <c r="B91" t="inlineStr">
        <is>
          <t>// 5.5.1: which side of the girth, and so which ESF</t>
        </is>
      </c>
    </row>
    <row r="92">
      <c r="A92" t="n">
        <v>83</v>
      </c>
      <c r="B92" t="inlineStr">
        <is>
          <t>// the ESF is a property of the SIDE the point is on: EPS to starboard, EPP to port</t>
        </is>
      </c>
    </row>
    <row r="93">
      <c r="A93" t="n">
        <v>84</v>
      </c>
      <c r="B93" t="inlineStr">
        <is>
          <t>var ESF_side = 0;</t>
        </is>
      </c>
    </row>
    <row r="94">
      <c r="A94" t="n">
        <v>85</v>
      </c>
      <c r="B94" t="inlineStr">
        <is>
          <t>if (y &gt;= 0 m) ESF_side = beta_EPS * k_esf;</t>
        </is>
      </c>
    </row>
    <row r="95">
      <c r="A95" t="n">
        <v>86</v>
      </c>
      <c r="B95" t="inlineStr">
        <is>
          <t>else          ESF_side = beta_EPP * k_esf;</t>
        </is>
      </c>
    </row>
    <row r="96">
      <c r="A96" t="n">
        <v>87</v>
      </c>
      <c r="B96" t="inlineStr">
        <is>
          <t>var h_di = k_l * alpha_i * h_do;   // hydrodynamic head at the point evaluated (5.5.1)</t>
        </is>
      </c>
    </row>
    <row r="97">
      <c r="A97" t="n">
        <v>88</v>
      </c>
      <c r="B97" t="inlineStr">
        <is>
          <t>var h_de = k_c * h_di;   // h_de = k_c h_di (5.5.1 nominal form)</t>
        </is>
      </c>
    </row>
    <row r="98">
      <c r="A98" t="n">
        <v>89</v>
      </c>
      <c r="B98" t="inlineStr">
        <is>
          <t>var p_s = Math.max(rho_sea * g * (draft - z), 0 Pa);   // still-water pressure, zero above the waterline</t>
        </is>
      </c>
    </row>
    <row r="99">
      <c r="A99" t="n">
        <v>90</v>
      </c>
      <c r="B99" t="inlineStr">
        <is>
          <t>var p_d = rho_sea * g * ESF_side * k_u * h_de;   // hydrodynamic pressure, with the ESF of the side the point is on</t>
        </is>
      </c>
    </row>
    <row r="100">
      <c r="A100" t="n">
        <v>91</v>
      </c>
      <c r="B100" t="inlineStr">
        <is>
          <t>return Math.max(p_s + p_d, 0 Pa);   // the pressure the function returns</t>
        </is>
      </c>
    </row>
    <row r="101"/>
    <row r="102">
      <c r="A102" s="11" t="inlineStr">
        <is>
          <t>### ext_summary</t>
        </is>
      </c>
    </row>
    <row r="103">
      <c r="A103" t="inlineStr">
        <is>
          <t>output_sheet</t>
        </is>
      </c>
      <c r="B103" t="inlineStr">
        <is>
          <t>Summary EXT</t>
        </is>
      </c>
    </row>
    <row r="104">
      <c r="A104" t="inlineStr">
        <is>
          <t>start_cell</t>
        </is>
      </c>
      <c r="B104" t="inlineStr">
        <is>
          <t>B2</t>
        </is>
      </c>
    </row>
    <row r="105">
      <c r="A105" t="inlineStr">
        <is>
          <t>direction</t>
        </is>
      </c>
      <c r="B105" t="inlineStr">
        <is>
          <t>vertical</t>
        </is>
      </c>
    </row>
    <row r="106">
      <c r="A106" t="inlineStr">
        <is>
          <t>filename</t>
        </is>
      </c>
      <c r="B106" t="inlineStr">
        <is>
          <t>{{ case_name }}_summary.md</t>
        </is>
      </c>
    </row>
    <row r="107">
      <c r="A107" t="inlineStr">
        <is>
          <t>extension</t>
        </is>
      </c>
      <c r="B107" t="inlineStr">
        <is>
          <t>.txt</t>
        </is>
      </c>
    </row>
    <row r="108">
      <c r="A108" t="inlineStr">
        <is>
          <t>description</t>
        </is>
      </c>
      <c r="B108" t="inlineStr">
        <is>
          <t>外压工况输入汇总（Markdown）</t>
        </is>
      </c>
    </row>
    <row r="109">
      <c r="A109" s="11" t="inlineStr">
        <is>
          <t>code ↓</t>
        </is>
      </c>
    </row>
    <row r="110">
      <c r="A110" t="n">
        <v>1</v>
      </c>
      <c r="B110" t="inlineStr">
        <is>
          <t>| 项目 | 值 | 出处 |</t>
        </is>
      </c>
    </row>
    <row r="111">
      <c r="A111" t="n">
        <v>2</v>
      </c>
      <c r="B111" t="inlineStr">
        <is>
          <t>| --- | --- | --- |</t>
        </is>
      </c>
    </row>
    <row r="112">
      <c r="A112" t="n">
        <v>3</v>
      </c>
      <c r="B112" t="inlineStr">
        <is>
          <t>| case_name | {{ case_name }} | 工况名（Excel 表头） |</t>
        </is>
      </c>
    </row>
    <row r="113">
      <c r="A113" t="n">
        <v>4</v>
      </c>
      <c r="B113" t="inlineStr">
        <is>
          <t>| kind | {{ kind }} | 规则集（多规则集共用一本工作簿时用 case_filter 分流） |</t>
        </is>
      </c>
    </row>
    <row r="114">
      <c r="A114" t="n">
        <v>5</v>
      </c>
      <c r="B114" t="inlineStr">
        <is>
          <t>| draft | {{ draft }} | 装载工况 |</t>
        </is>
      </c>
    </row>
    <row r="115">
      <c r="A115" t="n">
        <v>6</v>
      </c>
      <c r="B115" t="inlineStr">
        <is>
          <t>| mu_deg | {{ mu_deg }} | Table 1A D |</t>
        </is>
      </c>
    </row>
    <row r="116">
      <c r="A116" t="n">
        <v>7</v>
      </c>
      <c r="B116" t="inlineStr">
        <is>
          <t>| k_c | {{ k_c }} | Table 1A B |</t>
        </is>
      </c>
    </row>
    <row r="117">
      <c r="A117" t="n">
        <v>8</v>
      </c>
      <c r="B117" t="inlineStr">
        <is>
          <t>| k_f0 | {{ k_f0 }} | Table 1A B |</t>
        </is>
      </c>
    </row>
    <row r="118">
      <c r="A118" t="n">
        <v>9</v>
      </c>
      <c r="B118" t="inlineStr">
        <is>
          <t>| k_u | {{ k_u }} | 5A-3-2/7, /9 |</t>
        </is>
      </c>
    </row>
    <row r="119">
      <c r="A119" t="n">
        <v>10</v>
      </c>
      <c r="B119" t="inlineStr">
        <is>
          <t>| beta_EPS | {{ beta_EPS }} | 5A-3-A1/3 |</t>
        </is>
      </c>
    </row>
    <row r="120">
      <c r="A120" t="n">
        <v>11</v>
      </c>
      <c r="B120" t="inlineStr">
        <is>
          <t>| beta_EPP | {{ beta_EPP }} | 5A-3-A1/3 |</t>
        </is>
      </c>
    </row>
    <row r="121">
      <c r="A121" t="n">
        <v>12</v>
      </c>
      <c r="B121" t="inlineStr">
        <is>
          <t>| k_esf | {{ k_esf }} | 项目 |</t>
        </is>
      </c>
    </row>
    <row r="122">
      <c r="A122" t="n">
        <v>13</v>
      </c>
      <c r="B122" t="inlineStr">
        <is>
          <t>| x_o | {{ x_o }} | Fig. 9 脚注 |</t>
        </is>
      </c>
    </row>
    <row r="123">
      <c r="A123" t="n">
        <v>14</v>
      </c>
      <c r="B123" t="inlineStr">
        <is>
          <t>| L | {{ L }} | 3-1-1/3 |</t>
        </is>
      </c>
    </row>
    <row r="124">
      <c r="A124" t="n">
        <v>15</v>
      </c>
      <c r="B124" t="inlineStr">
        <is>
          <t>| B | {{ B }} | 3-1-1/3 |</t>
        </is>
      </c>
    </row>
    <row r="125">
      <c r="A125" t="n">
        <v>16</v>
      </c>
      <c r="B125" t="inlineStr">
        <is>
          <t>| D | {{ D }} | 3-1-1/3 |</t>
        </is>
      </c>
    </row>
    <row r="126">
      <c r="A126" t="n">
        <v>17</v>
      </c>
      <c r="B126" t="inlineStr">
        <is>
          <t>| r_b | {{ r_b }} | Fig. 11 |</t>
        </is>
      </c>
    </row>
    <row r="127">
      <c r="A127" t="n">
        <v>18</v>
      </c>
      <c r="B127" t="inlineStr">
        <is>
          <t>| freeboard | {{ freeboard }} | Fig. 10 |</t>
        </is>
      </c>
    </row>
    <row r="128">
      <c r="A128" t="n">
        <v>19</v>
      </c>
      <c r="B128" t="inlineStr">
        <is>
          <t>| rho_sea | {{ rho_sea }} | 5.5.1 |</t>
        </is>
      </c>
    </row>
    <row r="129">
      <c r="A129" t="n">
        <v>20</v>
      </c>
      <c r="B129" t="inlineStr">
        <is>
          <t>| g | {{ g }} | 5.5.1 |</t>
        </is>
      </c>
    </row>
    <row r="130">
      <c r="A130" t="n">
        <v>21</v>
      </c>
      <c r="B130" t="inlineStr">
        <is>
          <t>| Cb | {{ Cb }} | 3-1-1/13.3 |</t>
        </is>
      </c>
    </row>
    <row r="131">
      <c r="A131" t="n">
        <v>22</v>
      </c>
      <c r="B131" t="inlineStr">
        <is>
          <t>| axis ax | ({{ ax_x }}, {{ ax_y }}, {{ ax_z }}) | 模型 |</t>
        </is>
      </c>
    </row>
    <row r="132">
      <c r="A132" t="n">
        <v>23</v>
      </c>
      <c r="B132" t="inlineStr">
        <is>
          <t>| axis neg | ({{ neg_x }} / {{ neg_y }} / {{ neg_z }}) | 模型 |</t>
        </is>
      </c>
    </row>
    <row r="133"/>
    <row r="134">
      <c r="A134" s="11" t="inlineStr">
        <is>
          <t>### genie_int</t>
        </is>
      </c>
    </row>
    <row r="135">
      <c r="A135" t="inlineStr">
        <is>
          <t>output_sheet</t>
        </is>
      </c>
      <c r="B135" t="inlineStr">
        <is>
          <t>Code INT</t>
        </is>
      </c>
    </row>
    <row r="136">
      <c r="A136" t="inlineStr">
        <is>
          <t>start_cell</t>
        </is>
      </c>
      <c r="B136" t="inlineStr">
        <is>
          <t>B2</t>
        </is>
      </c>
    </row>
    <row r="137">
      <c r="A137" t="inlineStr">
        <is>
          <t>direction</t>
        </is>
      </c>
      <c r="B137" t="inlineStr">
        <is>
          <t>horizontal</t>
        </is>
      </c>
    </row>
    <row r="138">
      <c r="A138" t="inlineStr">
        <is>
          <t>filename</t>
        </is>
      </c>
      <c r="B138" t="inlineStr">
        <is>
          <t>{{ case_name }}.js</t>
        </is>
      </c>
    </row>
    <row r="139">
      <c r="A139" t="inlineStr">
        <is>
          <t>extension</t>
        </is>
      </c>
      <c r="B139" t="inlineStr">
        <is>
          <t>.txt</t>
        </is>
      </c>
    </row>
    <row r="140">
      <c r="A140" t="inlineStr">
        <is>
          <t>description</t>
        </is>
      </c>
      <c r="B140" t="inlineStr">
        <is>
          <t>ABS FPI 5A-3-2/5.7 内压 -- GeniE 强度函数体</t>
        </is>
      </c>
    </row>
    <row r="141">
      <c r="A141" s="11" t="inlineStr">
        <is>
          <t>code ↓</t>
        </is>
      </c>
    </row>
    <row r="142">
      <c r="A142" t="n">
        <v>1</v>
      </c>
      <c r="B142" t="inlineStr">
        <is>
          <t>// {{ case_name }}</t>
        </is>
      </c>
    </row>
    <row r="143">
      <c r="A143" t="n">
        <v>2</v>
      </c>
      <c r="B143" t="inlineStr">
        <is>
          <t>// See ext_body.js.j2 for why the coordinates go through temporaries.</t>
        </is>
      </c>
    </row>
    <row r="144">
      <c r="A144" t="n">
        <v>3</v>
      </c>
      <c r="B144" t="inlineStr">
        <is>
          <t>var t1 = x;</t>
        </is>
      </c>
    </row>
    <row r="145">
      <c r="A145" t="n">
        <v>4</v>
      </c>
      <c r="B145" t="inlineStr">
        <is>
          <t>var t2 = y;</t>
        </is>
      </c>
    </row>
    <row r="146">
      <c r="A146" t="n">
        <v>5</v>
      </c>
      <c r="B146" t="inlineStr">
        <is>
          <t>var t3 = z;</t>
        </is>
      </c>
    </row>
    <row r="147">
      <c r="A147" t="n">
        <v>6</v>
      </c>
      <c r="B147" t="inlineStr">
        <is>
          <t>x = {{ neg_x }}t{{ ax_x }};</t>
        </is>
      </c>
    </row>
    <row r="148">
      <c r="A148" t="n">
        <v>7</v>
      </c>
      <c r="B148" t="inlineStr">
        <is>
          <t>y = {{ neg_y }}t{{ ax_y }};</t>
        </is>
      </c>
    </row>
    <row r="149">
      <c r="A149" t="n">
        <v>8</v>
      </c>
      <c r="B149" t="inlineStr">
        <is>
          <t>z = {{ neg_z }}t{{ ax_z }};</t>
        </is>
      </c>
    </row>
    <row r="150">
      <c r="A150" t="n">
        <v>9</v>
      </c>
      <c r="B150" t="inlineStr">
        <is>
          <t>// --- global parameters (same for every case)</t>
        </is>
      </c>
    </row>
    <row r="151">
      <c r="A151" t="n">
        <v>10</v>
      </c>
      <c r="B151" t="inlineStr">
        <is>
          <t>var L = {{ L }};</t>
        </is>
      </c>
    </row>
    <row r="152">
      <c r="A152" t="n">
        <v>11</v>
      </c>
      <c r="B152" t="inlineStr">
        <is>
          <t>var B = {{ B }};</t>
        </is>
      </c>
    </row>
    <row r="153">
      <c r="A153" t="n">
        <v>12</v>
      </c>
      <c r="B153" t="inlineStr">
        <is>
          <t>var D = {{ D }};</t>
        </is>
      </c>
    </row>
    <row r="154">
      <c r="A154" t="n">
        <v>13</v>
      </c>
      <c r="B154" t="inlineStr">
        <is>
          <t>var rho_sea = {{ rho_sea }};</t>
        </is>
      </c>
    </row>
    <row r="155">
      <c r="A155" t="n">
        <v>14</v>
      </c>
      <c r="B155" t="inlineStr">
        <is>
          <t>var g = {{ g }};</t>
        </is>
      </c>
    </row>
    <row r="156">
      <c r="A156" t="n">
        <v>15</v>
      </c>
      <c r="B156" t="inlineStr">
        <is>
          <t>var Cb = {{ Cb }};</t>
        </is>
      </c>
    </row>
    <row r="157">
      <c r="A157" t="n">
        <v>16</v>
      </c>
      <c r="B157" t="inlineStr">
        <is>
          <t>var d_f = {{ d_f }};</t>
        </is>
      </c>
    </row>
    <row r="158">
      <c r="A158" t="n">
        <v>17</v>
      </c>
      <c r="B158" t="inlineStr">
        <is>
          <t>var rho_g_lo = {{ rho_g_lo }};</t>
        </is>
      </c>
    </row>
    <row r="159">
      <c r="A159" t="n">
        <v>18</v>
      </c>
      <c r="B159" t="inlineStr">
        <is>
          <t>var rho_g_hi = {{ rho_g_hi }};</t>
        </is>
      </c>
    </row>
    <row r="160">
      <c r="A160" t="n">
        <v>19</v>
      </c>
      <c r="B160" t="inlineStr">
        <is>
          <t>// --- this case</t>
        </is>
      </c>
    </row>
    <row r="161">
      <c r="A161" t="n">
        <v>20</v>
      </c>
      <c r="B161" t="inlineStr">
        <is>
          <t>var draft = {{ draft }};</t>
        </is>
      </c>
    </row>
    <row r="162">
      <c r="A162" t="n">
        <v>21</v>
      </c>
      <c r="B162" t="inlineStr">
        <is>
          <t>var mu_deg = {{ mu_deg }};</t>
        </is>
      </c>
    </row>
    <row r="163">
      <c r="A163" t="n">
        <v>22</v>
      </c>
      <c r="B163" t="inlineStr">
        <is>
          <t>var k_c = {{ k_c }};</t>
        </is>
      </c>
    </row>
    <row r="164">
      <c r="A164" t="n">
        <v>23</v>
      </c>
      <c r="B164" t="inlineStr">
        <is>
          <t>var k_u = {{ k_u }};</t>
        </is>
      </c>
    </row>
    <row r="165">
      <c r="A165" t="n">
        <v>24</v>
      </c>
      <c r="B165" t="inlineStr">
        <is>
          <t>var beta_VAC = {{ beta_VAC }};</t>
        </is>
      </c>
    </row>
    <row r="166">
      <c r="A166" t="n">
        <v>25</v>
      </c>
      <c r="B166" t="inlineStr">
        <is>
          <t>var beta_LAC = {{ beta_LAC }};</t>
        </is>
      </c>
    </row>
    <row r="167">
      <c r="A167" t="n">
        <v>26</v>
      </c>
      <c r="B167" t="inlineStr">
        <is>
          <t>var beta_TAC = {{ beta_TAC }};</t>
        </is>
      </c>
    </row>
    <row r="168">
      <c r="A168" t="n">
        <v>27</v>
      </c>
      <c r="B168" t="inlineStr">
        <is>
          <t>var beta_PMO = {{ beta_PMO }};</t>
        </is>
      </c>
    </row>
    <row r="169">
      <c r="A169" t="n">
        <v>28</v>
      </c>
      <c r="B169" t="inlineStr">
        <is>
          <t>var beta_RMO = {{ beta_RMO }};</t>
        </is>
      </c>
    </row>
    <row r="170">
      <c r="A170" t="n">
        <v>29</v>
      </c>
      <c r="B170" t="inlineStr">
        <is>
          <t>var k_esf = {{ k_esf }};</t>
        </is>
      </c>
    </row>
    <row r="171">
      <c r="A171" t="n">
        <v>30</v>
      </c>
      <c r="B171" t="inlineStr">
        <is>
          <t>var w_v = {{ w_v }};</t>
        </is>
      </c>
    </row>
    <row r="172">
      <c r="A172" t="n">
        <v>31</v>
      </c>
      <c r="B172" t="inlineStr">
        <is>
          <t>var w_l = {{ w_l }};</t>
        </is>
      </c>
    </row>
    <row r="173">
      <c r="A173" t="n">
        <v>32</v>
      </c>
      <c r="B173" t="inlineStr">
        <is>
          <t>var w_t = {{ w_t }};</t>
        </is>
      </c>
    </row>
    <row r="174">
      <c r="A174" t="n">
        <v>33</v>
      </c>
      <c r="B174" t="inlineStr">
        <is>
          <t>var xi = {{ xi }};</t>
        </is>
      </c>
    </row>
    <row r="175">
      <c r="A175" t="n">
        <v>34</v>
      </c>
      <c r="B175" t="inlineStr">
        <is>
          <t>var delta_b = {{ delta_b }};</t>
        </is>
      </c>
    </row>
    <row r="176">
      <c r="A176" t="n">
        <v>35</v>
      </c>
      <c r="B176" t="inlineStr">
        <is>
          <t>var delta_h = {{ delta_h }};</t>
        </is>
      </c>
    </row>
    <row r="177">
      <c r="A177" t="n">
        <v>36</v>
      </c>
      <c r="B177" t="inlineStr">
        <is>
          <t>// --- the tank this case names: {{ tank_ref }}</t>
        </is>
      </c>
    </row>
    <row r="178">
      <c r="A178" t="n">
        <v>37</v>
      </c>
      <c r="B178" t="inlineStr">
        <is>
          <t>var rho_tank = {{ rho_tank }};</t>
        </is>
      </c>
    </row>
    <row r="179">
      <c r="A179" t="n">
        <v>38</v>
      </c>
      <c r="B179" t="inlineStr">
        <is>
          <t>var l_tank = {{ l_tank }};</t>
        </is>
      </c>
    </row>
    <row r="180">
      <c r="A180" t="n">
        <v>39</v>
      </c>
      <c r="B180" t="inlineStr">
        <is>
          <t>var b_tank = {{ b_tank }};</t>
        </is>
      </c>
    </row>
    <row r="181">
      <c r="A181" t="n">
        <v>40</v>
      </c>
      <c r="B181" t="inlineStr">
        <is>
          <t>var h_tank = {{ h_tank }};</t>
        </is>
      </c>
    </row>
    <row r="182">
      <c r="A182" t="n">
        <v>41</v>
      </c>
      <c r="B182" t="inlineStr">
        <is>
          <t>var eta_deck = {{ eta_deck }};</t>
        </is>
      </c>
    </row>
    <row r="183">
      <c r="A183" t="n">
        <v>42</v>
      </c>
      <c r="B183" t="inlineStr">
        <is>
          <t>var eta_overflow = {{ eta_overflow }};</t>
        </is>
      </c>
    </row>
    <row r="184">
      <c r="A184" t="n">
        <v>43</v>
      </c>
      <c r="B184" t="inlineStr">
        <is>
          <t>var C_dp = {{ C_dp }};</t>
        </is>
      </c>
    </row>
    <row r="185">
      <c r="A185" t="n">
        <v>44</v>
      </c>
      <c r="B185" t="inlineStr">
        <is>
          <t>var C_ru = {{ C_ru }};</t>
        </is>
      </c>
    </row>
    <row r="186">
      <c r="A186" t="n">
        <v>45</v>
      </c>
      <c r="B186" t="inlineStr">
        <is>
          <t>var p_vp = {{ p_vp }};</t>
        </is>
      </c>
    </row>
    <row r="187">
      <c r="A187" t="n">
        <v>46</v>
      </c>
      <c r="B187" t="inlineStr">
        <is>
          <t>var GM_full_in = {{ GM_full_in }};</t>
        </is>
      </c>
    </row>
    <row r="188">
      <c r="A188" t="n">
        <v>47</v>
      </c>
      <c r="B188" t="inlineStr">
        <is>
          <t>var k_r_in = {{ k_r_in }};</t>
        </is>
      </c>
    </row>
    <row r="189">
      <c r="A189" t="n">
        <v>48</v>
      </c>
      <c r="B189" t="inlineStr">
        <is>
          <t>var tank_is_ballast = {{ tank_is_ballast }};</t>
        </is>
      </c>
    </row>
    <row r="190">
      <c r="A190" t="n">
        <v>49</v>
      </c>
      <c r="B190" t="inlineStr">
        <is>
          <t>var member_11_17 = {{ member_11_17 }};</t>
        </is>
      </c>
    </row>
    <row r="191">
      <c r="A191" t="n">
        <v>50</v>
      </c>
      <c r="B191" t="inlineStr">
        <is>
          <t>// --- the calculation</t>
        </is>
      </c>
    </row>
    <row r="192">
      <c r="A192" t="n">
        <v>51</v>
      </c>
      <c r="B192" t="inlineStr">
        <is>
          <t>var C_theta = 1;   // C_theta, the roll angle factor of 5.7.2(b)</t>
        </is>
      </c>
    </row>
    <row r="193">
      <c r="A193" t="n">
        <v>52</v>
      </c>
      <c r="B193" t="inlineStr">
        <is>
          <t>var C_phi = -0.45;   // C_phi, the pitch angle factor of 5.7.2(b)</t>
        </is>
      </c>
    </row>
    <row r="194">
      <c r="A194" t="n">
        <v>53</v>
      </c>
      <c r="B194" t="inlineStr">
        <is>
          <t>var k_theta = 0.005;   // k_theta of the theta expression (5.7.1(b))</t>
        </is>
      </c>
    </row>
    <row r="195">
      <c r="A195" t="n">
        <v>54</v>
      </c>
      <c r="B195" t="inlineStr">
        <is>
          <t>var C_R = 1.05;   // C_R of the theta expression (5.7.1(b))</t>
        </is>
      </c>
    </row>
    <row r="196">
      <c r="A196" t="n">
        <v>55</v>
      </c>
      <c r="B196" t="inlineStr">
        <is>
          <t>var k_o = 1.34 - 0.47 * Cb;   // k_o (5.7.1(c))</t>
        </is>
      </c>
    </row>
    <row r="197">
      <c r="A197" t="n">
        <v>56</v>
      </c>
      <c r="B197" t="inlineStr">
        <is>
          <t>var a_o = (k_o * (2.4 / Math.pow(L / 1 m, 0.5) + 34 / (L / 1 m) - 600 / Math.pow(L / 1 m, 2))) * 1 m;   // a_o, the vertical acceleration parameter</t>
        </is>
      </c>
    </row>
    <row r="198">
      <c r="A198" t="n">
        <v>57</v>
      </c>
      <c r="B198" t="inlineStr">
        <is>
          <t>var D_1 = (10 / Cb);   // the (10 / C_b) term of phi</t>
        </is>
      </c>
    </row>
    <row r="199">
      <c r="A199" t="n">
        <v>58</v>
      </c>
      <c r="B199" t="inlineStr">
        <is>
          <t>var phi = beta_PMO * k_esf * 1030 * Math.pow(D_1, 0.25) / (L / 1 m) * 1 deg;   // phi, the pitch amplitude</t>
        </is>
      </c>
    </row>
    <row r="200">
      <c r="A200" t="n">
        <v>59</v>
      </c>
      <c r="B200" t="inlineStr">
        <is>
          <t>if (phi &gt; 10 deg) phi = 10 deg;</t>
        </is>
      </c>
    </row>
    <row r="201">
      <c r="A201" t="n">
        <v>60</v>
      </c>
      <c r="B201" t="inlineStr">
        <is>
          <t>else              phi = phi;</t>
        </is>
      </c>
    </row>
    <row r="202">
      <c r="A202" t="n">
        <v>61</v>
      </c>
      <c r="B202" t="inlineStr">
        <is>
          <t>var GM_full = GM_full_in &gt; 0 m ? GM_full_in : 0.12 * B;   // 5.7.1(b): 0.12 B when GM(full) is not available</t>
        </is>
      </c>
    </row>
    <row r="203">
      <c r="A203" t="n">
        <v>62</v>
      </c>
      <c r="B203" t="inlineStr">
        <is>
          <t>var k_r = k_r_in &gt; 0 m ? k_r_in : (draft &lt;= d_f ? 0.35 * B : 0.45 * B);   // roll radius of gyration</t>
        </is>
      </c>
    </row>
    <row r="204">
      <c r="A204" t="n">
        <v>63</v>
      </c>
      <c r="B204" t="inlineStr">
        <is>
          <t>var Delta = 10.05 kN/m^3 * L * B * d_f * Cb;   // displacement, k_d = 10.05 kN/m^3</t>
        </is>
      </c>
    </row>
    <row r="205">
      <c r="A205" t="n">
        <v>64</v>
      </c>
      <c r="B205" t="inlineStr">
        <is>
          <t>var C_di = 1.06 * (draft / d_f) - 0.06;   // C_di = 1.06 (d_i/d_f) - 0.06</t>
        </is>
      </c>
    </row>
    <row r="206">
      <c r="A206" t="n">
        <v>65</v>
      </c>
      <c r="B206" t="inlineStr">
        <is>
          <t>var GM = GM_full;   // GM at the draft evaluated, filled in below</t>
        </is>
      </c>
    </row>
    <row r="207">
      <c r="A207" t="n">
        <v>66</v>
      </c>
      <c r="B207" t="inlineStr">
        <is>
          <t>if      (draft / d_f &gt;= 1)   GM = GM_full;</t>
        </is>
      </c>
    </row>
    <row r="208">
      <c r="A208" t="n">
        <v>67</v>
      </c>
      <c r="B208" t="inlineStr">
        <is>
          <t>else if (draft / d_f &gt;= 0.9) GM = 1.1 * GM_full;</t>
        </is>
      </c>
    </row>
    <row r="209">
      <c r="A209" t="n">
        <v>68</v>
      </c>
      <c r="B209" t="inlineStr">
        <is>
          <t>else if (draft / d_f &gt;= 2/3) GM = 1.5 * GM_full;</t>
        </is>
      </c>
    </row>
    <row r="210">
      <c r="A210" t="n">
        <v>69</v>
      </c>
      <c r="B210" t="inlineStr">
        <is>
          <t>else if (draft / d_f &gt;= 0.5) GM = 2.0 * GM_full;</t>
        </is>
      </c>
    </row>
    <row r="211">
      <c r="A211" t="n">
        <v>70</v>
      </c>
      <c r="B211" t="inlineStr">
        <is>
          <t>else                         GM = GM_full;</t>
        </is>
      </c>
    </row>
    <row r="212">
      <c r="A212" t="n">
        <v>71</v>
      </c>
      <c r="B212" t="inlineStr">
        <is>
          <t>var T_r = 2 * k_r * Math.pow(GM / 1 m, -0.5) / 1 m * 1 s;   // T_r, the roll natural period, in seconds</t>
        </is>
      </c>
    </row>
    <row r="213">
      <c r="A213" t="n">
        <v>72</v>
      </c>
      <c r="B213" t="inlineStr">
        <is>
          <t>var theta = C_R * beta_RMO * k_esf * (35 - k_theta * C_di * Delta / 1000 kN) * 1 deg;   // theta, the roll amplitude</t>
        </is>
      </c>
    </row>
    <row r="214">
      <c r="A214" t="n">
        <v>73</v>
      </c>
      <c r="B214" t="inlineStr">
        <is>
          <t>if      (T_r &gt; 20 s)              theta = theta;</t>
        </is>
      </c>
    </row>
    <row r="215">
      <c r="A215" t="n">
        <v>74</v>
      </c>
      <c r="B215" t="inlineStr">
        <is>
          <t>else if (T_r &gt;= 12.5 s)           theta = theta * (1.5375 - 0.027 * T_r / 1 s);</t>
        </is>
      </c>
    </row>
    <row r="216">
      <c r="A216" t="n">
        <v>75</v>
      </c>
      <c r="B216" t="inlineStr">
        <is>
          <t>else                              theta = theta * (0.8625 + 0.027 * T_r / 1 s);</t>
        </is>
      </c>
    </row>
    <row r="217">
      <c r="A217" t="n">
        <v>76</v>
      </c>
      <c r="B217" t="inlineStr">
        <is>
          <t>if (theta &gt; 30 deg) theta = 30 deg;</t>
        </is>
      </c>
    </row>
    <row r="218">
      <c r="A218" t="n">
        <v>77</v>
      </c>
      <c r="B218" t="inlineStr">
        <is>
          <t>else                theta = theta;</t>
        </is>
      </c>
    </row>
    <row r="219">
      <c r="A219" t="n">
        <v>78</v>
      </c>
      <c r="B219" t="inlineStr">
        <is>
          <t>var k_v = Math.pow(1 + 0.65 * Math.pow(5.3 - 45 / (L / 1 m), 2) * Math.pow(x / L - 0.45, 2), 0.5);   // k_v (5.7.1(c))</t>
        </is>
      </c>
    </row>
    <row r="220">
      <c r="A220" t="n">
        <v>79</v>
      </c>
      <c r="B220" t="inlineStr">
        <is>
          <t>var C_v = Math.cos(mu_deg) + (1 + 2.4 * z / B) * Math.sin(mu_deg) / k_v;   // C_v (5.7.1(c))</t>
        </is>
      </c>
    </row>
    <row r="221">
      <c r="A221" t="n">
        <v>80</v>
      </c>
      <c r="B221" t="inlineStr">
        <is>
          <t>var C_l = 0.35 - 0.0005 * (L / 1 m - 200);   // C_l (5.7.1(c))</t>
        </is>
      </c>
    </row>
    <row r="222">
      <c r="A222" t="n">
        <v>81</v>
      </c>
      <c r="B222" t="inlineStr">
        <is>
          <t>var k_l = 0.5 + 8 * y / L;   // k_l (5.7.1(c)), the VERTICAL distribution</t>
        </is>
      </c>
    </row>
    <row r="223">
      <c r="A223" t="n">
        <v>82</v>
      </c>
      <c r="B223" t="inlineStr">
        <is>
          <t>var C_t = 1.27 * Math.pow(1 + 1.52 * Math.pow(x / L - 0.45, 2), 0.5);   // C_t (5.7.1(c))</t>
        </is>
      </c>
    </row>
    <row r="224">
      <c r="A224" t="n">
        <v>83</v>
      </c>
      <c r="B224" t="inlineStr">
        <is>
          <t>var k_t = 0.35 + y / B;   // k_t (5.7.1(c)), the VERTICAL distribution</t>
        </is>
      </c>
    </row>
    <row r="225">
      <c r="A225" t="n">
        <v>84</v>
      </c>
      <c r="B225" t="inlineStr">
        <is>
          <t>var a_v = C_v * beta_VAC * k_esf * k_v * a_o / 1 m * g;   // a_v, positive downward</t>
        </is>
      </c>
    </row>
    <row r="226">
      <c r="A226" t="n">
        <v>85</v>
      </c>
      <c r="B226" t="inlineStr">
        <is>
          <t>var a_l = C_l * beta_LAC * k_esf * k_l * a_o / 1 m * g;   // a_l, positive forward</t>
        </is>
      </c>
    </row>
    <row r="227">
      <c r="A227" t="n">
        <v>86</v>
      </c>
      <c r="B227" t="inlineStr">
        <is>
          <t>var a_t = C_t * beta_TAC * k_esf * k_t * a_o / 1 m * g;   // a_t, positive starboard</t>
        </is>
      </c>
    </row>
    <row r="228">
      <c r="A228" t="n">
        <v>87</v>
      </c>
      <c r="B228" t="inlineStr">
        <is>
          <t>var rho_g = rho_tank * g;   // the liquid specific weight (5.7.2(a))</t>
        </is>
      </c>
    </row>
    <row r="229">
      <c r="A229" t="n">
        <v>88</v>
      </c>
      <c r="B229" t="inlineStr">
        <is>
          <t>var eta_overflow_add = Math.max(0.6666667 * eta_overflow, 760 mm);   // Fig. 12: 2/3 of the overflow distance, at least 760 mm</t>
        </is>
      </c>
    </row>
    <row r="230">
      <c r="A230" t="n">
        <v>89</v>
      </c>
      <c r="B230" t="inlineStr">
        <is>
          <t>var eta = h_tank + eta_deck + (eta_overflow &gt; 0 m ? eta_overflow_add : 0 m) - z;   // eta, measured down from the tank top</t>
        </is>
      </c>
    </row>
    <row r="231">
      <c r="A231" t="n">
        <v>90</v>
      </c>
      <c r="B231" t="inlineStr">
        <is>
          <t>var k_s = 1;   // k_s, filled in below</t>
        </is>
      </c>
    </row>
    <row r="232">
      <c r="A232" t="n">
        <v>91</v>
      </c>
      <c r="B232" t="inlineStr">
        <is>
          <t>if (tank_is_ballast != 0 || member_11_17 == 0) {</t>
        </is>
      </c>
    </row>
    <row r="233">
      <c r="A233" t="n">
        <v>92</v>
      </c>
      <c r="B233" t="inlineStr">
        <is>
          <t xml:space="preserve">    k_s = 1;</t>
        </is>
      </c>
    </row>
    <row r="234">
      <c r="A234" t="n">
        <v>93</v>
      </c>
      <c r="B234" t="inlineStr">
        <is>
          <t>} else {</t>
        </is>
      </c>
    </row>
    <row r="235">
      <c r="A235" t="n">
        <v>94</v>
      </c>
      <c r="B235" t="inlineStr">
        <is>
          <t xml:space="preserve">    k_s = 0.878 + (rho_g - rho_g_lo) / (rho_g_hi - rho_g_lo) * 0.122;</t>
        </is>
      </c>
    </row>
    <row r="236">
      <c r="A236" t="n">
        <v>95</v>
      </c>
      <c r="B236" t="inlineStr">
        <is>
          <t xml:space="preserve">    if (k_s &lt; 0.878) k_s = 0.878;</t>
        </is>
      </c>
    </row>
    <row r="237">
      <c r="A237" t="n">
        <v>96</v>
      </c>
      <c r="B237" t="inlineStr">
        <is>
          <t xml:space="preserve">    else             k_s = k_s;</t>
        </is>
      </c>
    </row>
    <row r="238">
      <c r="A238" t="n">
        <v>97</v>
      </c>
      <c r="B238" t="inlineStr">
        <is>
          <t xml:space="preserve">    if (k_s &gt; 1)     k_s = 1;</t>
        </is>
      </c>
    </row>
    <row r="239">
      <c r="A239" t="n">
        <v>98</v>
      </c>
      <c r="B239" t="inlineStr">
        <is>
          <t xml:space="preserve">    else             k_s = k_s;</t>
        </is>
      </c>
    </row>
    <row r="240">
      <c r="A240" t="n">
        <v>99</v>
      </c>
      <c r="B240" t="inlineStr">
        <is>
          <t>}</t>
        </is>
      </c>
    </row>
    <row r="241">
      <c r="A241" t="n">
        <v>100</v>
      </c>
      <c r="B241" t="inlineStr">
        <is>
          <t>var p_o = p_vp &gt; 0 N/cm^2 ? Math.max(p_vp - 2.06 N/cm^2, 0 N/cm^2) : 0 N/cm^2;   // p_o = (p_vp - p_n), p_n = 2.06 N/cm^2</t>
        </is>
      </c>
    </row>
    <row r="242">
      <c r="A242" t="n">
        <v>101</v>
      </c>
      <c r="B242" t="inlineStr">
        <is>
          <t>var a_i = 0.71 * C_dp * (w_v * a_v + w_l * (l_tank / h_tank) * a_l + w_t * (b_tank / h_tank) * a_t);   // a_i (5.7.2(a))</t>
        </is>
      </c>
    </row>
    <row r="243">
      <c r="A243" t="n">
        <v>102</v>
      </c>
      <c r="B243" t="inlineStr">
        <is>
          <t>var theta_e = 0.71 * C_theta * theta;   // theta_e (5.7.2(b))</t>
        </is>
      </c>
    </row>
    <row r="244">
      <c r="A244" t="n">
        <v>103</v>
      </c>
      <c r="B244" t="inlineStr">
        <is>
          <t>var phi_e = 0.71 * C_phi * phi;   // phi_e (5.7.2(b))</t>
        </is>
      </c>
    </row>
    <row r="245">
      <c r="A245" t="n">
        <v>104</v>
      </c>
      <c r="B245" t="inlineStr">
        <is>
          <t>var zeta = Math.abs(b_tank / 2 - z);   // zeta, from the tank centre line</t>
        </is>
      </c>
    </row>
    <row r="246">
      <c r="A246" t="n">
        <v>105</v>
      </c>
      <c r="B246" t="inlineStr">
        <is>
          <t>var zeta_e = zeta;   // zeta_e, filled in below</t>
        </is>
      </c>
    </row>
    <row r="247">
      <c r="A247" t="n">
        <v>106</v>
      </c>
      <c r="B247" t="inlineStr">
        <is>
          <t>var eta_e = eta;   // eta_e, filled in below</t>
        </is>
      </c>
    </row>
    <row r="248">
      <c r="A248" t="n">
        <v>107</v>
      </c>
      <c r="B248" t="inlineStr">
        <is>
          <t>var dh_i = 0 m;   // delta h_i, filled in below</t>
        </is>
      </c>
    </row>
    <row r="249">
      <c r="A249" t="n">
        <v>108</v>
      </c>
      <c r="B249" t="inlineStr">
        <is>
          <t>if (phi_e &lt; 0 deg &amp;&amp; theta_e &gt; 0 deg) {</t>
        </is>
      </c>
    </row>
    <row r="250">
      <c r="A250" t="n">
        <v>109</v>
      </c>
      <c r="B250" t="inlineStr">
        <is>
          <t xml:space="preserve">    // branch i of 5.7.2(b)</t>
        </is>
      </c>
    </row>
    <row r="251">
      <c r="A251" t="n">
        <v>110</v>
      </c>
      <c r="B251" t="inlineStr">
        <is>
          <t xml:space="preserve">    zeta_e = b_tank - zeta;</t>
        </is>
      </c>
    </row>
    <row r="252">
      <c r="A252" t="n">
        <v>111</v>
      </c>
      <c r="B252" t="inlineStr">
        <is>
          <t xml:space="preserve">    eta_e = eta;</t>
        </is>
      </c>
    </row>
    <row r="253">
      <c r="A253" t="n">
        <v>112</v>
      </c>
      <c r="B253" t="inlineStr">
        <is>
          <t xml:space="preserve">    dh_i = xi * Math.sin(-phi_e) + C_ru * (zeta_e * Math.sin(theta_e) * Math.cos(phi_e)</t>
        </is>
      </c>
    </row>
    <row r="254">
      <c r="A254" t="n">
        <v>113</v>
      </c>
      <c r="B254" t="inlineStr">
        <is>
          <t xml:space="preserve">         + eta_e * Math.cos(theta_e) * Math.cos(phi_e) - eta);</t>
        </is>
      </c>
    </row>
    <row r="255">
      <c r="A255" t="n">
        <v>114</v>
      </c>
      <c r="B255" t="inlineStr">
        <is>
          <t>} else {</t>
        </is>
      </c>
    </row>
    <row r="256">
      <c r="A256" t="n">
        <v>115</v>
      </c>
      <c r="B256" t="inlineStr">
        <is>
          <t xml:space="preserve">    // branch ii of 5.7.2(b)</t>
        </is>
      </c>
    </row>
    <row r="257">
      <c r="A257" t="n">
        <v>116</v>
      </c>
      <c r="B257" t="inlineStr">
        <is>
          <t xml:space="preserve">    zeta_e = zeta - delta_b;</t>
        </is>
      </c>
    </row>
    <row r="258">
      <c r="A258" t="n">
        <v>117</v>
      </c>
      <c r="B258" t="inlineStr">
        <is>
          <t xml:space="preserve">    eta_e = eta - delta_h;</t>
        </is>
      </c>
    </row>
    <row r="259">
      <c r="A259" t="n">
        <v>118</v>
      </c>
      <c r="B259" t="inlineStr">
        <is>
          <t xml:space="preserve">    dh_i = (l_tank - xi) * Math.sin(-phi_e) + C_ru * (zeta_e * Math.sin(theta_e) * Math.cos(phi_e)</t>
        </is>
      </c>
    </row>
    <row r="260">
      <c r="A260" t="n">
        <v>119</v>
      </c>
      <c r="B260" t="inlineStr">
        <is>
          <t xml:space="preserve">         + eta_e * Math.cos(theta_e) * Math.cos(phi_e) - eta);</t>
        </is>
      </c>
    </row>
    <row r="261">
      <c r="A261" t="n">
        <v>120</v>
      </c>
      <c r="B261" t="inlineStr">
        <is>
          <t>}</t>
        </is>
      </c>
    </row>
    <row r="262">
      <c r="A262" t="n">
        <v>121</v>
      </c>
      <c r="B262" t="inlineStr">
        <is>
          <t>var h_d = k_c * (eta * a_i / g + dh_i);   // h_d = k_c (eta a_i / g + delta h_i) (5.7.2(a))</t>
        </is>
      </c>
    </row>
    <row r="263">
      <c r="A263" t="n">
        <v>122</v>
      </c>
      <c r="B263" t="inlineStr">
        <is>
          <t>var p_s = k_s * rho_g * eta;   // static pressure (5.7.2(a))</t>
        </is>
      </c>
    </row>
    <row r="264">
      <c r="A264" t="n">
        <v>123</v>
      </c>
      <c r="B264" t="inlineStr">
        <is>
          <t>var p_d = k_s * rho_g * k_u * h_d;   // dynamic pressure (5.7.2(a))</t>
        </is>
      </c>
    </row>
    <row r="265">
      <c r="A265" t="n">
        <v>124</v>
      </c>
      <c r="B265" t="inlineStr">
        <is>
          <t>return p_s + p_d + p_o;   // the pressure the function returns</t>
        </is>
      </c>
    </row>
    <row r="266"/>
    <row r="267">
      <c r="A267" s="11" t="inlineStr">
        <is>
          <t>### int_summary</t>
        </is>
      </c>
    </row>
    <row r="268">
      <c r="A268" t="inlineStr">
        <is>
          <t>output_sheet</t>
        </is>
      </c>
      <c r="B268" t="inlineStr">
        <is>
          <t>Summary INT</t>
        </is>
      </c>
    </row>
    <row r="269">
      <c r="A269" t="inlineStr">
        <is>
          <t>start_cell</t>
        </is>
      </c>
      <c r="B269" t="inlineStr">
        <is>
          <t>B2</t>
        </is>
      </c>
    </row>
    <row r="270">
      <c r="A270" t="inlineStr">
        <is>
          <t>direction</t>
        </is>
      </c>
      <c r="B270" t="inlineStr">
        <is>
          <t>vertical</t>
        </is>
      </c>
    </row>
    <row r="271">
      <c r="A271" t="inlineStr">
        <is>
          <t>filename</t>
        </is>
      </c>
      <c r="B271" t="inlineStr">
        <is>
          <t>{{ case_name }}_summary.md</t>
        </is>
      </c>
    </row>
    <row r="272">
      <c r="A272" t="inlineStr">
        <is>
          <t>extension</t>
        </is>
      </c>
      <c r="B272" t="inlineStr">
        <is>
          <t>.txt</t>
        </is>
      </c>
    </row>
    <row r="273">
      <c r="A273" t="inlineStr">
        <is>
          <t>description</t>
        </is>
      </c>
      <c r="B273" t="inlineStr">
        <is>
          <t>内压工况输入汇总（Markdown）</t>
        </is>
      </c>
    </row>
    <row r="274">
      <c r="A274" s="11" t="inlineStr">
        <is>
          <t>code ↓</t>
        </is>
      </c>
    </row>
    <row r="275">
      <c r="A275" t="n">
        <v>1</v>
      </c>
      <c r="B275" t="inlineStr">
        <is>
          <t>| 项目 | 值 | 出处 |</t>
        </is>
      </c>
    </row>
    <row r="276">
      <c r="A276" t="n">
        <v>2</v>
      </c>
      <c r="B276" t="inlineStr">
        <is>
          <t>| --- | --- | --- |</t>
        </is>
      </c>
    </row>
    <row r="277">
      <c r="A277" t="n">
        <v>3</v>
      </c>
      <c r="B277" t="inlineStr">
        <is>
          <t>| case_name | {{ case_name }} | 工况名（Excel 表头） |</t>
        </is>
      </c>
    </row>
    <row r="278">
      <c r="A278" t="n">
        <v>4</v>
      </c>
      <c r="B278" t="inlineStr">
        <is>
          <t>| kind | {{ kind }} | 规则集（多规则集共用一本工作簿时用 case_filter 分流） |</t>
        </is>
      </c>
    </row>
    <row r="279">
      <c r="A279" t="n">
        <v>5</v>
      </c>
      <c r="B279" t="inlineStr">
        <is>
          <t>| tank_ref | {{ tank_ref }} | 指向成员表 `Tank Data` 的哪一行（指南 §18） |</t>
        </is>
      </c>
    </row>
    <row r="280">
      <c r="A280" t="n">
        <v>6</v>
      </c>
      <c r="B280" t="inlineStr">
        <is>
          <t>| draft | {{ draft }} | 装载工况 |</t>
        </is>
      </c>
    </row>
    <row r="281">
      <c r="A281" t="n">
        <v>7</v>
      </c>
      <c r="B281" t="inlineStr">
        <is>
          <t>| mu_deg | {{ mu_deg }} | Table 1A D |</t>
        </is>
      </c>
    </row>
    <row r="282">
      <c r="A282" t="n">
        <v>8</v>
      </c>
      <c r="B282" t="inlineStr">
        <is>
          <t>| k_c | {{ k_c }} | Table 1A C |</t>
        </is>
      </c>
    </row>
    <row r="283">
      <c r="A283" t="n">
        <v>9</v>
      </c>
      <c r="B283" t="inlineStr">
        <is>
          <t>| k_u | {{ k_u }} | 5A-3-2/7, /9 |</t>
        </is>
      </c>
    </row>
    <row r="284">
      <c r="A284" t="n">
        <v>10</v>
      </c>
      <c r="B284" t="inlineStr">
        <is>
          <t>| beta_VAC | {{ beta_VAC }} | 5A-3-A1/3 |</t>
        </is>
      </c>
    </row>
    <row r="285">
      <c r="A285" t="n">
        <v>11</v>
      </c>
      <c r="B285" t="inlineStr">
        <is>
          <t>| beta_LAC | {{ beta_LAC }} | 5A-3-A1/3 |</t>
        </is>
      </c>
    </row>
    <row r="286">
      <c r="A286" t="n">
        <v>12</v>
      </c>
      <c r="B286" t="inlineStr">
        <is>
          <t>| beta_TAC | {{ beta_TAC }} | 5A-3-A1/3 |</t>
        </is>
      </c>
    </row>
    <row r="287">
      <c r="A287" t="n">
        <v>13</v>
      </c>
      <c r="B287" t="inlineStr">
        <is>
          <t>| beta_PMO | {{ beta_PMO }} | 5A-3-A1/3 |</t>
        </is>
      </c>
    </row>
    <row r="288">
      <c r="A288" t="n">
        <v>14</v>
      </c>
      <c r="B288" t="inlineStr">
        <is>
          <t>| beta_RMO | {{ beta_RMO }} | 5A-3-A1/3 |</t>
        </is>
      </c>
    </row>
    <row r="289">
      <c r="A289" t="n">
        <v>15</v>
      </c>
      <c r="B289" t="inlineStr">
        <is>
          <t>| k_esf | {{ k_esf }} | 项目 |</t>
        </is>
      </c>
    </row>
    <row r="290">
      <c r="A290" t="n">
        <v>16</v>
      </c>
      <c r="B290" t="inlineStr">
        <is>
          <t>| w_v / w_l / w_t | {{ w_v }} / {{ w_l }} / {{ w_t }} | Table 1A B |</t>
        </is>
      </c>
    </row>
    <row r="291">
      <c r="A291" t="n">
        <v>17</v>
      </c>
      <c r="B291" t="inlineStr">
        <is>
          <t>| xi | {{ xi }} | 5.7.2(b) |</t>
        </is>
      </c>
    </row>
    <row r="292">
      <c r="A292" t="n">
        <v>18</v>
      </c>
      <c r="B292" t="inlineStr">
        <is>
          <t>| delta_b / delta_h | {{ delta_b }} / {{ delta_h }} | 5.7.2(b) |</t>
        </is>
      </c>
    </row>
    <row r="293">
      <c r="A293" t="n">
        <v>19</v>
      </c>
      <c r="B293" t="inlineStr">
        <is>
          <t>| rho_tank | {{ rho_tank }} | 成员表 Tank Data |</t>
        </is>
      </c>
    </row>
    <row r="294">
      <c r="A294" t="n">
        <v>20</v>
      </c>
      <c r="B294" t="inlineStr">
        <is>
          <t>| l_tank / b_tank / h_tank | {{ l_tank }} / {{ b_tank }} / {{ h_tank }} | Fig. 11 |</t>
        </is>
      </c>
    </row>
    <row r="295">
      <c r="A295" t="n">
        <v>21</v>
      </c>
      <c r="B295" t="inlineStr">
        <is>
          <t>| eta_deck / eta_overflow | {{ eta_deck }} / {{ eta_overflow }} | Fig. 12 |</t>
        </is>
      </c>
    </row>
    <row r="296">
      <c r="A296" t="n">
        <v>22</v>
      </c>
      <c r="B296" t="inlineStr">
        <is>
          <t>| C_dp / C_ru | {{ C_dp }} / {{ C_ru }} | 5.7.2(d) |</t>
        </is>
      </c>
    </row>
    <row r="297">
      <c r="A297" t="n">
        <v>23</v>
      </c>
      <c r="B297" t="inlineStr">
        <is>
          <t>| p_vp | {{ p_vp }} | 成员表 Tank Data |</t>
        </is>
      </c>
    </row>
    <row r="298">
      <c r="A298" t="n">
        <v>24</v>
      </c>
      <c r="B298" t="inlineStr">
        <is>
          <t>| GM_full_in / k_r_in | {{ GM_full_in }} / {{ k_r_in }} | 稳性计算书 |</t>
        </is>
      </c>
    </row>
    <row r="299">
      <c r="A299" t="n">
        <v>25</v>
      </c>
      <c r="B299" t="inlineStr">
        <is>
          <t>| tank_is_ballast / member_11_17 | {{ tank_is_ballast }} / {{ member_11_17 }} | Table 3 |</t>
        </is>
      </c>
    </row>
    <row r="300">
      <c r="A300" t="n">
        <v>26</v>
      </c>
      <c r="B300" t="inlineStr">
        <is>
          <t>| L / B / D / d_f | {{ L }} / {{ B }} / {{ D }} / {{ d_f }} | 3-1-1/3 |</t>
        </is>
      </c>
    </row>
    <row r="301">
      <c r="A301" t="n">
        <v>27</v>
      </c>
      <c r="B301" t="inlineStr">
        <is>
          <t>| rho_sea / g / Cb | {{ rho_sea }} / {{ g }} / {{ Cb }} | 5.7.1 |</t>
        </is>
      </c>
    </row>
    <row r="302">
      <c r="A302" t="n">
        <v>28</v>
      </c>
      <c r="B302" t="inlineStr">
        <is>
          <t>| rho_g_lo / rho_g_hi | {{ rho_g_lo }} / {{ rho_g_hi }} | 5.7.2(a) |</t>
        </is>
      </c>
    </row>
    <row r="303">
      <c r="A303" t="n">
        <v>29</v>
      </c>
      <c r="B303" t="inlineStr">
        <is>
          <t>| axis ax | ({{ ax_x }}, {{ ax_y }}, {{ ax_z }}) | 模型 |</t>
        </is>
      </c>
    </row>
    <row r="304">
      <c r="A304" t="n">
        <v>30</v>
      </c>
      <c r="B304" t="inlineStr">
        <is>
          <t>| axis neg | ({{ neg_x }} / {{ neg_y }} / {{ neg_z }}) | 模型 |</t>
        </is>
      </c>
    </row>
    <row r="305"/>
    <row r="306">
      <c r="A306" s="11" t="inlineStr">
        <is>
          <t>## excel-codegen-meta</t>
        </is>
      </c>
    </row>
    <row r="307">
      <c r="A307" t="inlineStr">
        <is>
          <t>时间</t>
        </is>
      </c>
      <c r="B307" t="inlineStr">
        <is>
          <t>2026-09-27 16:02:21</t>
        </is>
      </c>
    </row>
    <row r="308">
      <c r="A308" t="inlineStr">
        <is>
          <t>输出指纹</t>
        </is>
      </c>
      <c r="B308" t="inlineStr">
        <is>
          <t>2c9e2063277a</t>
        </is>
      </c>
    </row>
    <row r="309">
      <c r="A309" t="inlineStr">
        <is>
          <t>参数指纹</t>
        </is>
      </c>
      <c r="B309" t="inlineStr">
        <is>
          <t>b97af7c6cc63</t>
        </is>
      </c>
    </row>
    <row r="310">
      <c r="A310" t="inlineStr">
        <is>
          <t>case 数</t>
        </is>
      </c>
      <c r="B310" t="inlineStr">
        <is>
          <t>7</t>
        </is>
      </c>
    </row>
    <row r="311">
      <c r="A311" t="inlineStr">
        <is>
          <t>cases</t>
        </is>
      </c>
      <c r="B311" t="inlineStr">
        <is>
          <t>EXT-T20.559-mu90-kf+1, EXT-T15-mu0-kf-1, EXT-T15-mu90-kf+1, WBT6-d8-mu90, WBT6-d15.059-mu0, WBT7-d20.559-mu90, COT1-d20.559-mu60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2026-09-27T08:01:15Z</dcterms:created>
  <dcterms:modified xsi:type="dcterms:W3CDTF">2026-09-27T08:02:21Z</dcterms:modified>
</cp:coreProperties>
</file>