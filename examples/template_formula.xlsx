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template_formula.xlsx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template_formula.xlsx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5" t="inlineStr">
        <is>
          <t>★  部分输出表是公式（engine: excel）：改参数后 Excel 打开即重算，不用跑脚本</t>
        </is>
      </c>
    </row>
    <row r="12">
      <c r="A12" s="14" t="inlineStr">
        <is>
          <t xml:space="preserve">   公式只做「占位符替换」；要生成代码文件（--outdir）或做 CI 检查（check）仍需命令行。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7" t="inlineStr">
        <is>
          <t xml:space="preserve">  uart_init: Output @ B2 (horizontal)［公式·自动重算］</t>
        </is>
      </c>
    </row>
    <row r="17">
      <c r="A17" s="17" t="inlineStr">
        <is>
          <t xml:space="preserve">  uart_pins: Output Vertical @ B2 (vertical)［公式·自动重算］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2026-09-24 16:59:17</t>
        </is>
      </c>
    </row>
    <row r="22">
      <c r="A22" s="14" t="inlineStr">
        <is>
          <t xml:space="preserve">  输出指纹      e26b0dd65938</t>
        </is>
      </c>
    </row>
    <row r="23">
      <c r="A23" s="14" t="inlineStr">
        <is>
          <t xml:space="preserve">  参数指纹      b7f61318700d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7" t="inlineStr">
        <is>
          <t xml:space="preserve">  命令      excel-codegen render -c examples\example_formula.yaml -x examples\template_formula.xlsx --write-excel --outdir examples\generated_formula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7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baud_khz</t>
        </is>
      </c>
      <c r="B3" s="18">
        <f>(IF(ISBLANK(INDEX('Global Parameter'!$B:$B,MATCH("baud",'Global Parameter'!$A:$A,0))),115200,IF(INDEX('Global Parameter'!$B:$B,MATCH("baud",'Global Parameter'!$A:$A,0))="",115200,INDEX('Global Parameter'!$B:$B,MATCH("baud",'Global Parameter'!$A:$A,0))))/1000)</f>
        <v/>
      </c>
      <c r="C3" t="inlineStr">
        <is>
          <t>波特率（kHz）= baud / 1000 —— 派生参数示例 （自动计算：baud / 1000）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8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</cols>
  <sheetData>
    <row r="1">
      <c r="B1" s="19" t="inlineStr">
        <is>
          <t>Case1</t>
        </is>
      </c>
      <c r="C1" s="19" t="inlineStr">
        <is>
          <t>Case2</t>
        </is>
      </c>
    </row>
    <row r="2">
      <c r="B2">
        <f>"// Case: "&amp;'Local Parameter'!E$1</f>
        <v/>
      </c>
      <c r="C2">
        <f>"// Case: "&amp;'Local Parameter'!F$1</f>
        <v/>
      </c>
    </row>
    <row r="3">
      <c r="B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Parameter'!E:E,MATCH("port",'Local Parameter'!$A:$A,0))),"A",IF(INDEX('Local Parameter'!E:E,MATCH("port",'Local Parameter'!$A:$A,0))="","A",INDEX('Local Parameter'!E:E,MATCH("port",'Local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Parameter'!E:E,MATCH("mode",'Local Parameter'!$A:$A,0))),"TX_RX",IF(INDEX('Local Parameter'!E:E,MATCH("mode",'Local Parameter'!$A:$A,0))="","TX_RX",INDEX('Local Parameter'!E:E,MATCH("mode",'Local Parameter'!$A:$A,0))))&amp;IF(ISBLANK(INDEX('Local Parameter'!$D:$D,MATCH("mode",'Local Parameter'!$A:$A,0))),"",INDEX('Local Parameter'!$D:$D,MATCH("mode",'Local Parameter'!$A:$A,0)))&amp;");"</f>
        <v/>
      </c>
      <c r="C3">
        <f>"UART_Init("&amp;IF(ISBLANK(INDEX('Global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Parameter'!$A:$A,0)))&amp;", 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Parameter'!F:F,MATCH("port",'Local Parameter'!$A:$A,0))),"A",IF(INDEX('Local Parameter'!F:F,MATCH("port",'Local Parameter'!$A:$A,0))="","A",INDEX('Local Parameter'!F:F,MATCH("port",'Local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 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Parameter'!F:F,MATCH("mode",'Local Parameter'!$A:$A,0))),"TX_RX",IF(INDEX('Local Parameter'!F:F,MATCH("mode",'Local Parameter'!$A:$A,0))="","TX_RX",INDEX('Local Parameter'!F:F,MATCH("mode",'Local Parameter'!$A:$A,0))))&amp;IF(ISBLANK(INDEX('Local Parameter'!$D:$D,MATCH("mode",'Local Parameter'!$A:$A,0))),"",INDEX('Local Parameter'!$D:$D,MATCH("mode",'Local Parameter'!$A:$A,0)))&amp;");"</f>
        <v/>
      </c>
    </row>
    <row r="4">
      <c r="B4">
        <f>"// 纯值: "&amp;IF(ISBLANK(INDEX('Local Parameter'!E:E,MATCH("port",'Local Parameter'!$A:$A,0))),"A",IF(INDEX('Local Parameter'!E:E,MATCH("port",'Local Parameter'!$A:$A,0))="","A",INDEX('Local Parameter'!E:E,MATCH("port",'Local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  <c r="C4">
        <f>"// 纯值: "&amp;IF(ISBLANK(INDEX('Local Parameter'!F:F,MATCH("port",'Local Parameter'!$A:$A,0))),"A",IF(INDEX('Local Parameter'!F:F,MATCH("port",'Local Parameter'!$A:$A,0))="","A",INDEX('Local Parameter'!F:F,MATCH("port",'Local Parameter'!$A:$A,0))))&amp;", 前缀: "&amp;IF(ISBLANK(INDEX('Local Parameter'!$C:$C,MATCH("port",'Local Parameter'!$A:$A,0))),"GPIO",IF(INDEX('Local Parameter'!$C:$C,MATCH("port",'Local Parameter'!$A:$A,0))="","GPIO",INDEX('Local Parameter'!$C:$C,MATCH("port",'Local Parameter'!$A:$A,0))))&amp;", 后缀: "&amp;IF(ISBLANK(INDEX('Local Parameter'!$D:$D,MATCH("port",'Local Parameter'!$A:$A,0))),"_PORT",IF(INDEX('Local Parameter'!$D:$D,MATCH("port",'Local Parameter'!$A:$A,0))="","_PORT",INDEX('Local Parameter'!$D:$D,MATCH("port",'Local Parameter'!$A:$A,0))))</f>
        <v/>
      </c>
    </row>
    <row r="5">
      <c r="B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  <c r="C5">
        <f>"// 派生参数: "&amp;IF(ISBLANK(INDEX('Global Parameter'!$D:$D,MATCH("baud_khz",'Global Parameter'!$A:$A,0))),"",INDEX('Global Parameter'!$D:$D,MATCH("baud_khz",'Global Parameter'!$A:$A,0)))&amp;IF(ISBLANK(INDEX('Global Parameter'!$B:$B,MATCH("baud_khz",'Global Parameter'!$A:$A,0))),"",INDEX('Global Parameter'!$B:$B,MATCH("baud_khz",'Global Parameter'!$A:$A,0)))&amp;IF(ISBLANK(INDEX('Global Parameter'!$E:$E,MATCH("baud_khz",'Global Parameter'!$A:$A,0))),"",INDEX('Global Parameter'!$E:$E,MATCH("baud_khz",'Global Parameter'!$A:$A,0)))&amp;" kHz"</f>
        <v/>
      </c>
    </row>
    <row r="6">
      <c r="B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  <c r="C6">
        <f>"// MCU: "&amp;IF(ISBLANK(INDEX('Global Parameter'!$D:$D,MATCH("mcu",'Global Parameter'!$A:$A,0))),"",INDEX('Global Parameter'!$D:$D,MATCH("mcu",'Global Parameter'!$A:$A,0)))&amp;IF(ISBLANK(INDEX('Global Parameter'!$B:$B,MATCH("mcu",'Global Parameter'!$A:$A,0))),"STM32F103",IF(INDEX('Global Parameter'!$B:$B,MATCH("mcu",'Global Parameter'!$A:$A,0))="","STM32F103",INDEX('Global Parameter'!$B:$B,MATCH("mcu",'Global Parameter'!$A:$A,0))))&amp;IF(ISBLANK(INDEX('Global Parameter'!$E:$E,MATCH("mcu",'Global Parameter'!$A:$A,0))),"",INDEX('Global Parameter'!$E:$E,MATCH("mcu",'Global Parameter'!$A:$A,0)))</f>
        <v/>
      </c>
    </row>
    <row r="7"/>
    <row r="8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1" sqref="A1"/>
    </sheetView>
  </sheetViews>
  <sheetFormatPr baseColWidth="8" defaultRowHeight="15"/>
  <cols>
    <col width="160" customWidth="1" min="2" max="2"/>
  </cols>
  <sheetData>
    <row r="2">
      <c r="A2" s="19" t="inlineStr">
        <is>
          <t>Case1</t>
        </is>
      </c>
      <c r="B2">
        <f>'Local Parameter'!$E$1&amp;","&amp;IF(ISBLANK(INDEX('Local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Parameter'!$E:$E,MATCH("port",'Local Parameter'!$A:$A,0))),"A",IF(INDEX('Local Parameter'!$E:$E,MATCH("port",'Local Parameter'!$A:$A,0))="","A",INDEX('Local Parameter'!$E:$E,MATCH("port",'Local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Parameter'!$E:$E,MATCH("mode",'Local Parameter'!$A:$A,0))),"TX_RX",IF(INDEX('Local Parameter'!$E:$E,MATCH("mode",'Local Parameter'!$A:$A,0))="","TX_RX",INDEX('Local Parameter'!$E:$E,MATCH("mode",'Local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3">
      <c r="A3" s="19" t="inlineStr">
        <is>
          <t>Case2</t>
        </is>
      </c>
      <c r="B3">
        <f>'Local Parameter'!$F$1&amp;","&amp;IF(ISBLANK(INDEX('Local Parameter'!$C:$C,MATCH("port",'Local Parameter'!$A:$A,0))),"GPIO",IF(INDEX('Local Parameter'!$C:$C,MATCH("port",'Local Parameter'!$A:$A,0))="","GPIO",INDEX('Local Parameter'!$C:$C,MATCH("port",'Local Parameter'!$A:$A,0))))&amp;IF(ISBLANK(INDEX('Local Parameter'!$F:$F,MATCH("port",'Local Parameter'!$A:$A,0))),"A",IF(INDEX('Local Parameter'!$F:$F,MATCH("port",'Local Parameter'!$A:$A,0))="","A",INDEX('Local Parameter'!$F:$F,MATCH("port",'Local Parameter'!$A:$A,0))))&amp;IF(ISBLANK(INDEX('Local Parameter'!$D:$D,MATCH("port",'Local Parameter'!$A:$A,0))),"_PORT",IF(INDEX('Local Parameter'!$D:$D,MATCH("port",'Local Parameter'!$A:$A,0))="","_PORT",INDEX('Local Parameter'!$D:$D,MATCH("port",'Local Parameter'!$A:$A,0))))&amp;","&amp;IF(ISBLANK(INDEX('Local Parameter'!$C:$C,MATCH("mode",'Local Parameter'!$A:$A,0))),"MODE_",IF(INDEX('Local Parameter'!$C:$C,MATCH("mode",'Local Parameter'!$A:$A,0))="","MODE_",INDEX('Local Parameter'!$C:$C,MATCH("mode",'Local Parameter'!$A:$A,0))))&amp;IF(ISBLANK(INDEX('Local Parameter'!$F:$F,MATCH("mode",'Local Parameter'!$A:$A,0))),"TX_RX",IF(INDEX('Local Parameter'!$F:$F,MATCH("mode",'Local Parameter'!$A:$A,0))="","TX_RX",INDEX('Local Parameter'!$F:$F,MATCH("mode",'Local Parameter'!$A:$A,0))))&amp;IF(ISBLANK(INDEX('Local Parameter'!$D:$D,MATCH("mode",'Local Parameter'!$A:$A,0))),"",INDEX('Local Parameter'!$D:$D,MATCH("mode",'Local Parameter'!$A:$A,0)))&amp;","&amp;IF(ISBLANK(INDEX('Global Parameter'!$D:$D,MATCH("baud",'Global Parameter'!$A:$A,0))),"",INDEX('Global Parameter'!$D:$D,MATCH("baud",'Global Parameter'!$A:$A,0)))&amp;IF(ISBLANK(INDEX('Global Parameter'!$B:$B,MATCH("baud",'Global Parameter'!$A:$A,0))),115200,IF(INDEX('Global Parameter'!$B:$B,MATCH("baud",'Global Parameter'!$A:$A,0))="",115200,INDEX('Global Parameter'!$B:$B,MATCH("baud",'Global Parameter'!$A:$A,0))))&amp;IF(ISBLANK(INDEX('Global Parameter'!$E:$E,MATCH("baud",'Global Parameter'!$A:$A,0))),"",INDEX('Global Parameter'!$E:$E,MATCH("baud",'Global Parameter'!$A:$A,0)))</f>
        <v/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初始化代码（公式模式）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派生参数: {{ baud_khz }} kHz</t>
        </is>
      </c>
    </row>
    <row r="14">
      <c r="A14" t="n">
        <v>5</v>
      </c>
      <c r="B14" t="inlineStr">
        <is>
          <t>// MCU: {{ mcu }}</t>
        </is>
      </c>
    </row>
    <row r="15"/>
    <row r="16">
      <c r="A16" s="12" t="inlineStr">
        <is>
          <t>### uart_pins</t>
        </is>
      </c>
    </row>
    <row r="17">
      <c r="A17" t="inlineStr">
        <is>
          <t>output_sheet</t>
        </is>
      </c>
      <c r="B17" t="inlineStr">
        <is>
          <t>Output Vertical</t>
        </is>
      </c>
    </row>
    <row r="18">
      <c r="A18" t="inlineStr">
        <is>
          <t>start_cell</t>
        </is>
      </c>
      <c r="B18" t="inlineStr">
        <is>
          <t>B2</t>
        </is>
      </c>
    </row>
    <row r="19">
      <c r="A19" t="inlineStr">
        <is>
          <t>direction</t>
        </is>
      </c>
      <c r="B19" t="inlineStr">
        <is>
          <t>vertical</t>
        </is>
      </c>
    </row>
    <row r="20">
      <c r="A20" t="inlineStr">
        <is>
          <t>filename</t>
        </is>
      </c>
      <c r="B20" t="inlineStr">
        <is>
          <t>uart_pins_{{ case_name }}.csv</t>
        </is>
      </c>
    </row>
    <row r="21">
      <c r="A21" t="inlineStr">
        <is>
          <t>extension</t>
        </is>
      </c>
      <c r="B21" t="inlineStr">
        <is>
          <t>.txt</t>
        </is>
      </c>
    </row>
    <row r="22">
      <c r="A22" t="inlineStr">
        <is>
          <t>description</t>
        </is>
      </c>
      <c r="B22" t="inlineStr">
        <is>
          <t>端口占用表（公式模式，纵向）</t>
        </is>
      </c>
    </row>
    <row r="23">
      <c r="A23" s="12" t="inlineStr">
        <is>
          <t>code ↓</t>
        </is>
      </c>
    </row>
    <row r="24">
      <c r="A24" t="n">
        <v>1</v>
      </c>
      <c r="B24" t="inlineStr">
        <is>
          <t>{{ case_name }},{{ port }},{{ mode }},{{ baud }}</t>
        </is>
      </c>
    </row>
    <row r="26">
      <c r="A26" s="12" t="inlineStr">
        <is>
          <t>## excel-codegen-meta</t>
        </is>
      </c>
    </row>
    <row r="27">
      <c r="A27" t="inlineStr">
        <is>
          <t>时间</t>
        </is>
      </c>
      <c r="B27" t="inlineStr">
        <is>
          <t>2026-09-24 16:59:17</t>
        </is>
      </c>
    </row>
    <row r="28">
      <c r="A28" t="inlineStr">
        <is>
          <t>输出指纹</t>
        </is>
      </c>
      <c r="B28" t="inlineStr">
        <is>
          <t>e26b0dd65938</t>
        </is>
      </c>
    </row>
    <row r="29">
      <c r="A29" t="inlineStr">
        <is>
          <t>参数指纹</t>
        </is>
      </c>
      <c r="B29" t="inlineStr">
        <is>
          <t>b7f61318700d</t>
        </is>
      </c>
    </row>
    <row r="30">
      <c r="A30" t="inlineStr">
        <is>
          <t>case 数</t>
        </is>
      </c>
      <c r="B30" t="inlineStr">
        <is>
          <t>2</t>
        </is>
      </c>
    </row>
    <row r="31">
      <c r="A31" t="inlineStr">
        <is>
          <t>cases</t>
        </is>
      </c>
      <c r="B31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2026-09-24T08:59:16Z</dcterms:created>
  <dcterms:modified xsi:type="dcterms:W3CDTF">2026-09-24T08:59:17Z</dcterms:modified>
</cp:coreProperties>
</file>