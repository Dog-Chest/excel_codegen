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Output" sheetId="4" state="visible" r:id="rId4"/>
    <sheet name="Output Vertical" sheetId="5" state="visible" r:id="rId5"/>
    <sheet name="Template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excel_codegen</author>
  </authors>
  <commentList>
    <comment ref="A2" authorId="0" shapeId="0">
      <text>
        <t>波特率
填写位置：Global 表 B 列（所有 Case 共用）
类型：int
默认值：115200
模板里引用：{{ baud }}</t>
      </text>
    </comment>
    <comment ref="A3" authorId="0" shapeId="0">
      <text>
        <t>波特率（kHz）= baud / 1000 —— 派生参数示例
自动计算：baud / 1000
不用手填；改了它引用的输入后会自动重算。
类型：float
模板里引用：{{ baud_khz }}</t>
      </text>
    </comment>
    <comment ref="A4" authorId="0" shapeId="0">
      <text>
        <t>MCU 型号（字符串变量示例）
填写位置：Global 表 B 列（所有 Case 共用）
类型：auto
默认值：STM32F103
模板里引用：{{ mcu }}</t>
      </text>
    </comment>
  </commentList>
</comments>
</file>

<file path=xl/comments/comment2.xml><?xml version="1.0" encoding="utf-8"?>
<comments xmlns="http://schemas.openxmlformats.org/spreadsheetml/2006/main">
  <authors>
    <author>excel_codegen</author>
  </authors>
  <commentList>
    <comment ref="A2" authorId="0" shapeId="0">
      <text>
        <t>端口
填写位置：Local 表 E 列起（一个 Case 一列）
类型：auto
前缀 / 后缀：'GPIO' / '_PORT'
默认值：A
模板里引用：{{ port }}</t>
      </text>
    </comment>
    <comment ref="A3" authorId="0" shapeId="0">
      <text>
        <t>模式
填写位置：Local 表 E 列起（一个 Case 一列）
类型：auto
前缀 / 后缀：'MODE_' / ''
默认值：TX_RX
模板里引用：{{ mode }}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template_formula.xlsx —— 参数填写与代码生成说明</t>
        </is>
      </c>
    </row>
    <row r="2">
      <c r="A2" s="14" t="inlineStr"/>
    </row>
    <row r="3">
      <c r="A3" s="15" t="inlineStr">
        <is>
          <t>这个工作簿怎么用</t>
        </is>
      </c>
    </row>
    <row r="4">
      <c r="A4" s="14" t="inlineStr">
        <is>
          <t xml:space="preserve">  1.  Global Parameter 的 B 列：全局变量取值（所有 Case 共用）。</t>
        </is>
      </c>
    </row>
    <row r="5">
      <c r="A5" s="14" t="inlineStr">
        <is>
          <t xml:space="preserve">  2.  Local Parameter 从 E 列起：每个 Case 一列，右拉复制即可增加。</t>
        </is>
      </c>
    </row>
    <row r="6">
      <c r="A6" s="14" t="inlineStr">
        <is>
          <t xml:space="preserve">  3.  改完参数后回到命令行执行：</t>
        </is>
      </c>
    </row>
    <row r="7">
      <c r="A7" s="16" t="inlineStr">
        <is>
          <t xml:space="preserve">          excel-codegen render -c &lt;配置&gt;.yaml -x template_formula.xlsx --write-excel</t>
        </is>
      </c>
    </row>
    <row r="8">
      <c r="A8" s="14" t="inlineStr">
        <is>
          <t xml:space="preserve">      只想导出代码文件就换成 --outdir &lt;目录&gt;；只预览不写回则什么参数都不加。</t>
        </is>
      </c>
    </row>
    <row r="9">
      <c r="A9" s="14" t="inlineStr">
        <is>
          <t xml:space="preserve">      ★ 懒得开终端就双击本文件旁边的 template_formula_render.bat（Windows）或跑 template_formula_render.sh（Linux / macOS）。</t>
        </is>
      </c>
    </row>
    <row r="10">
      <c r="A10" s="14" t="inlineStr">
        <is>
          <t xml:space="preserve">      想确认表里的代码是不是已经过期：excel-codegen check -c &lt;配置&gt;.yaml</t>
        </is>
      </c>
    </row>
    <row r="11">
      <c r="A11" s="14" t="inlineStr"/>
    </row>
    <row r="12">
      <c r="A12" s="15" t="inlineStr">
        <is>
          <t>★  部分输出表是公式（engine: excel）：改参数后 Excel 打开即重算，不用跑脚本</t>
        </is>
      </c>
    </row>
    <row r="13">
      <c r="A13" s="14" t="inlineStr">
        <is>
          <t xml:space="preserve">   公式支持占位符替换与行内分支（{% if %}）；要生成代码文件（--outdir）或做 CI 检查（check）仍需命令行。</t>
        </is>
      </c>
    </row>
    <row r="14">
      <c r="A14" s="14" t="inlineStr">
        <is>
          <t xml:space="preserve">   不带 --write-excel 的 render 只预览，不会改变本文件。</t>
        </is>
      </c>
    </row>
    <row r="15">
      <c r="A15" s="14" t="inlineStr"/>
    </row>
    <row r="16">
      <c r="A16" s="15" t="inlineStr">
        <is>
          <t>输出位置</t>
        </is>
      </c>
    </row>
    <row r="17">
      <c r="A17" s="17" t="inlineStr">
        <is>
          <t xml:space="preserve">  uart_init: Output @ B2 (horizontal)［公式·自动重算］</t>
        </is>
      </c>
    </row>
    <row r="18">
      <c r="A18" s="17" t="inlineStr">
        <is>
          <t xml:space="preserve">  uart_pins: Output Vertical @ B2 (vertical)［公式·自动重算］</t>
        </is>
      </c>
    </row>
    <row r="19">
      <c r="A19" s="14" t="inlineStr">
        <is>
          <t xml:space="preserve">  Template（隐藏）：模板原文，只读参考，改它不影响渲染结果。</t>
        </is>
      </c>
    </row>
    <row r="20">
      <c r="A20" s="14" t="inlineStr"/>
    </row>
    <row r="21">
      <c r="A21" s="15" t="inlineStr">
        <is>
          <t>本次生成</t>
        </is>
      </c>
    </row>
    <row r="22">
      <c r="A22" s="14" t="inlineStr">
        <is>
          <t xml:space="preserve">  时间        2026-09-27 15:23:10</t>
        </is>
      </c>
    </row>
    <row r="23">
      <c r="A23" s="14" t="inlineStr">
        <is>
          <t xml:space="preserve">  输出指纹      e26b0dd65938</t>
        </is>
      </c>
    </row>
    <row r="24">
      <c r="A24" s="14" t="inlineStr">
        <is>
          <t xml:space="preserve">  参数指纹      b7f61318700d</t>
        </is>
      </c>
    </row>
    <row r="25">
      <c r="A25" s="14" t="inlineStr">
        <is>
          <t xml:space="preserve">  case 数    2</t>
        </is>
      </c>
    </row>
    <row r="26">
      <c r="A26" s="14" t="inlineStr">
        <is>
          <t xml:space="preserve">  cases     Case1, Case2</t>
        </is>
      </c>
    </row>
    <row r="27">
      <c r="A27" s="17" t="inlineStr">
        <is>
          <t xml:space="preserve">  命令      excel-codegen render -c examples/example_formula.yaml -x examples/template_formula.xlsx --write-excel --outdir examples/generated_formula</t>
        </is>
      </c>
    </row>
    <row r="28">
      <c r="A28" s="14" t="inlineStr"/>
    </row>
    <row r="29">
      <c r="A29" s="15" t="inlineStr">
        <is>
          <t>工况一览（来自上一次渲染）</t>
        </is>
      </c>
    </row>
    <row r="30">
      <c r="A30" s="17" t="inlineStr">
        <is>
          <t xml:space="preserve">  Case1, Case2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baud</t>
        </is>
      </c>
      <c r="B2" s="9" t="n">
        <v>115200</v>
      </c>
      <c r="C2" t="inlineStr">
        <is>
          <t>波特率</t>
        </is>
      </c>
    </row>
    <row r="3">
      <c r="A3" t="inlineStr">
        <is>
          <t>baud_khz</t>
        </is>
      </c>
      <c r="B3" s="18">
        <f>(IF(ISBLANK(INDEX('Global Parameter'!$B:$B,MATCH("baud",'Global Parameter'!$A:$A,0))),115200,IF(INDEX('Global Parameter'!$B:$B,MATCH("baud",'Global Parameter'!$A:$A,0))="",115200,INDEX('Global Parameter'!$B:$B,MATCH("baud",'Global Parameter'!$A:$A,0))))/1000)</f>
        <v/>
      </c>
      <c r="C3" t="inlineStr">
        <is>
          <t>波特率（kHz）= baud / 1000 —— 派生参数示例 （自动计算：baud / 1000）</t>
        </is>
      </c>
    </row>
    <row r="4">
      <c r="A4" t="inlineStr">
        <is>
          <t>mcu</t>
        </is>
      </c>
      <c r="B4" s="9" t="inlineStr">
        <is>
          <t>STM32F103</t>
        </is>
      </c>
      <c r="C4" t="inlineStr">
        <is>
          <t>MCU 型号（字符串变量示例）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19" customWidth="1" min="5" max="5"/>
    <col width="19" customWidth="1" min="6" max="6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Prefix</t>
        </is>
      </c>
      <c r="D1" s="7" t="inlineStr">
        <is>
          <t>Suffix</t>
        </is>
      </c>
      <c r="E1" s="8" t="inlineStr">
        <is>
          <t>Case1</t>
        </is>
      </c>
      <c r="F1" s="8" t="inlineStr">
        <is>
          <t>Case2</t>
        </is>
      </c>
    </row>
    <row r="2">
      <c r="A2" t="inlineStr">
        <is>
          <t>port</t>
        </is>
      </c>
      <c r="B2" t="inlineStr">
        <is>
          <t>端口</t>
        </is>
      </c>
      <c r="C2" t="inlineStr">
        <is>
          <t>GPIO</t>
        </is>
      </c>
      <c r="D2" t="inlineStr">
        <is>
          <t>_PORT</t>
        </is>
      </c>
      <c r="E2" s="9" t="inlineStr">
        <is>
          <t>A</t>
        </is>
      </c>
      <c r="F2" s="9" t="inlineStr">
        <is>
          <t>A</t>
        </is>
      </c>
    </row>
    <row r="3">
      <c r="A3" t="inlineStr">
        <is>
          <t>mode</t>
        </is>
      </c>
      <c r="B3" t="inlineStr">
        <is>
          <t>模式</t>
        </is>
      </c>
      <c r="C3" t="inlineStr">
        <is>
          <t>MODE_</t>
        </is>
      </c>
      <c r="E3" s="9" t="inlineStr">
        <is>
          <t>TX_RX</t>
        </is>
      </c>
      <c r="F3" s="9" t="inlineStr">
        <is>
          <t>TX_RX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8"/>
  <sheetViews>
    <sheetView workbookViewId="0">
      <selection activeCell="A1" sqref="A1"/>
    </sheetView>
  </sheetViews>
  <sheetFormatPr baseColWidth="8" defaultRowHeight="15"/>
  <cols>
    <col width="160" customWidth="1" min="2" max="2"/>
    <col width="160" customWidth="1" min="3" max="3"/>
  </cols>
  <sheetData>
    <row r="1">
      <c r="B1" s="19" t="inlineStr">
        <is>
          <t>Case1</t>
        </is>
      </c>
      <c r="C1" s="19" t="inlineStr">
        <is>
          <t>Case2</t>
        </is>
      </c>
    </row>
    <row r="2">
      <c r="B2">
        <f>"// Case: "&amp;'Local Parameter'!E$1</f>
        <v/>
      </c>
      <c r="C2">
        <f>"// Case: "&amp;'Local Parameter'!F$1</f>
        <v/>
      </c>
    </row>
    <row r="3">
      <c r="B3">
        <f>"UART_Init("&amp;IF(ISBLANK(INDEX('Global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Parameter'!$A:$A,0)))&amp;", 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Parameter'!E:E,MATCH("port",'Local Parameter'!$A:$A,0))),"A",IF(INDEX('Local Parameter'!E:E,MATCH("port",'Local Parameter'!$A:$A,0))="","A",INDEX('Local Parameter'!E:E,MATCH("port",'Local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 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Parameter'!E:E,MATCH("mode",'Local Parameter'!$A:$A,0))),"TX_RX",IF(INDEX('Local Parameter'!E:E,MATCH("mode",'Local Parameter'!$A:$A,0))="","TX_RX",INDEX('Local Parameter'!E:E,MATCH("mode",'Local Parameter'!$A:$A,0))))&amp;IF(ISBLANK(INDEX('Local Parameter'!$D:$D,MATCH("mode",'Local Parameter'!$A:$A,0))),"",INDEX('Local Parameter'!$D:$D,MATCH("mode",'Local Parameter'!$A:$A,0)))&amp;");"</f>
        <v/>
      </c>
      <c r="C3">
        <f>"UART_Init("&amp;IF(ISBLANK(INDEX('Global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Parameter'!$A:$A,0)))&amp;", 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Parameter'!F:F,MATCH("port",'Local Parameter'!$A:$A,0))),"A",IF(INDEX('Local Parameter'!F:F,MATCH("port",'Local Parameter'!$A:$A,0))="","A",INDEX('Local Parameter'!F:F,MATCH("port",'Local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 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Parameter'!F:F,MATCH("mode",'Local Parameter'!$A:$A,0))),"TX_RX",IF(INDEX('Local Parameter'!F:F,MATCH("mode",'Local Parameter'!$A:$A,0))="","TX_RX",INDEX('Local Parameter'!F:F,MATCH("mode",'Local Parameter'!$A:$A,0))))&amp;IF(ISBLANK(INDEX('Local Parameter'!$D:$D,MATCH("mode",'Local Parameter'!$A:$A,0))),"",INDEX('Local Parameter'!$D:$D,MATCH("mode",'Local Parameter'!$A:$A,0)))&amp;");"</f>
        <v/>
      </c>
    </row>
    <row r="4">
      <c r="B4">
        <f>"// 纯值: "&amp;IF(ISBLANK(INDEX('Local Parameter'!E:E,MATCH("port",'Local Parameter'!$A:$A,0))),"A",IF(INDEX('Local Parameter'!E:E,MATCH("port",'Local Parameter'!$A:$A,0))="","A",INDEX('Local Parameter'!E:E,MATCH("port",'Local Parameter'!$A:$A,0))))&amp;", 前缀: "&amp;IF(ISBLANK(INDEX('Local Parameter'!$C:$C,MATCH("port",'Local Parameter'!$A:$A,0))),"GPIO",IF(INDEX('Local Parameter'!$C:$C,MATCH("port",'Local Parameter'!$A:$A,0))="","GPIO",INDEX('Local Parameter'!$C:$C,MATCH("port",'Local Parameter'!$A:$A,0))))&amp;", 后缀: "&amp;IF(ISBLANK(INDEX('Local Parameter'!$D:$D,MATCH("port",'Local Parameter'!$A:$A,0))),"_PORT",IF(INDEX('Local Parameter'!$D:$D,MATCH("port",'Local Parameter'!$A:$A,0))="","_PORT",INDEX('Local Parameter'!$D:$D,MATCH("port",'Local Parameter'!$A:$A,0))))</f>
        <v/>
      </c>
      <c r="C4">
        <f>"// 纯值: "&amp;IF(ISBLANK(INDEX('Local Parameter'!F:F,MATCH("port",'Local Parameter'!$A:$A,0))),"A",IF(INDEX('Local Parameter'!F:F,MATCH("port",'Local Parameter'!$A:$A,0))="","A",INDEX('Local Parameter'!F:F,MATCH("port",'Local Parameter'!$A:$A,0))))&amp;", 前缀: "&amp;IF(ISBLANK(INDEX('Local Parameter'!$C:$C,MATCH("port",'Local Parameter'!$A:$A,0))),"GPIO",IF(INDEX('Local Parameter'!$C:$C,MATCH("port",'Local Parameter'!$A:$A,0))="","GPIO",INDEX('Local Parameter'!$C:$C,MATCH("port",'Local Parameter'!$A:$A,0))))&amp;", 后缀: "&amp;IF(ISBLANK(INDEX('Local Parameter'!$D:$D,MATCH("port",'Local Parameter'!$A:$A,0))),"_PORT",IF(INDEX('Local Parameter'!$D:$D,MATCH("port",'Local Parameter'!$A:$A,0))="","_PORT",INDEX('Local Parameter'!$D:$D,MATCH("port",'Local Parameter'!$A:$A,0))))</f>
        <v/>
      </c>
    </row>
    <row r="5">
      <c r="B5">
        <f>"// 派生参数: "&amp;IF(ISBLANK(INDEX('Global Parameter'!$D:$D,MATCH("baud_khz",'Global Parameter'!$A:$A,0))),"",INDEX('Global Parameter'!$D:$D,MATCH("baud_khz",'Global Parameter'!$A:$A,0)))&amp;IF(ISBLANK(INDEX('Global Parameter'!$B:$B,MATCH("baud_khz",'Global Parameter'!$A:$A,0))),"",INDEX('Global Parameter'!$B:$B,MATCH("baud_khz",'Global Parameter'!$A:$A,0)))&amp;IF(ISBLANK(INDEX('Global Parameter'!$E:$E,MATCH("baud_khz",'Global Parameter'!$A:$A,0))),"",INDEX('Global Parameter'!$E:$E,MATCH("baud_khz",'Global Parameter'!$A:$A,0)))&amp;" kHz"</f>
        <v/>
      </c>
      <c r="C5">
        <f>"// 派生参数: "&amp;IF(ISBLANK(INDEX('Global Parameter'!$D:$D,MATCH("baud_khz",'Global Parameter'!$A:$A,0))),"",INDEX('Global Parameter'!$D:$D,MATCH("baud_khz",'Global Parameter'!$A:$A,0)))&amp;IF(ISBLANK(INDEX('Global Parameter'!$B:$B,MATCH("baud_khz",'Global Parameter'!$A:$A,0))),"",INDEX('Global Parameter'!$B:$B,MATCH("baud_khz",'Global Parameter'!$A:$A,0)))&amp;IF(ISBLANK(INDEX('Global Parameter'!$E:$E,MATCH("baud_khz",'Global Parameter'!$A:$A,0))),"",INDEX('Global Parameter'!$E:$E,MATCH("baud_khz",'Global Parameter'!$A:$A,0)))&amp;" kHz"</f>
        <v/>
      </c>
    </row>
    <row r="6">
      <c r="B6">
        <f>"// MCU: "&amp;IF(ISBLANK(INDEX('Global Parameter'!$D:$D,MATCH("mcu",'Global Parameter'!$A:$A,0))),"",INDEX('Global Parameter'!$D:$D,MATCH("mcu",'Global Parameter'!$A:$A,0)))&amp;IF(ISBLANK(INDEX('Global Parameter'!$B:$B,MATCH("mcu",'Global Parameter'!$A:$A,0))),"STM32F103",IF(INDEX('Global Parameter'!$B:$B,MATCH("mcu",'Global Parameter'!$A:$A,0))="","STM32F103",INDEX('Global Parameter'!$B:$B,MATCH("mcu",'Global Parameter'!$A:$A,0))))&amp;IF(ISBLANK(INDEX('Global Parameter'!$E:$E,MATCH("mcu",'Global Parameter'!$A:$A,0))),"",INDEX('Global Parameter'!$E:$E,MATCH("mcu",'Global Parameter'!$A:$A,0)))</f>
        <v/>
      </c>
      <c r="C6">
        <f>"// MCU: "&amp;IF(ISBLANK(INDEX('Global Parameter'!$D:$D,MATCH("mcu",'Global Parameter'!$A:$A,0))),"",INDEX('Global Parameter'!$D:$D,MATCH("mcu",'Global Parameter'!$A:$A,0)))&amp;IF(ISBLANK(INDEX('Global Parameter'!$B:$B,MATCH("mcu",'Global Parameter'!$A:$A,0))),"STM32F103",IF(INDEX('Global Parameter'!$B:$B,MATCH("mcu",'Global Parameter'!$A:$A,0))="","STM32F103",INDEX('Global Parameter'!$B:$B,MATCH("mcu",'Global Parameter'!$A:$A,0))))&amp;IF(ISBLANK(INDEX('Global Parameter'!$E:$E,MATCH("mcu",'Global Parameter'!$A:$A,0))),"",INDEX('Global Parameter'!$E:$E,MATCH("mcu",'Global Parameter'!$A:$A,0)))</f>
        <v/>
      </c>
    </row>
    <row r="7"/>
    <row r="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cols>
    <col width="160" customWidth="1" min="2" max="2"/>
  </cols>
  <sheetData>
    <row r="2">
      <c r="A2" s="19" t="inlineStr">
        <is>
          <t>Case1</t>
        </is>
      </c>
      <c r="B2">
        <f>'Local Parameter'!$E$1&amp;","&amp;IF(ISBLANK(INDEX('Local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Parameter'!$E:$E,MATCH("port",'Local Parameter'!$A:$A,0))),"A",IF(INDEX('Local Parameter'!$E:$E,MATCH("port",'Local Parameter'!$A:$A,0))="","A",INDEX('Local Parameter'!$E:$E,MATCH("port",'Local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Parameter'!$E:$E,MATCH("mode",'Local Parameter'!$A:$A,0))),"TX_RX",IF(INDEX('Local Parameter'!$E:$E,MATCH("mode",'Local Parameter'!$A:$A,0))="","TX_RX",INDEX('Local Parameter'!$E:$E,MATCH("mode",'Local Parameter'!$A:$A,0))))&amp;IF(ISBLANK(INDEX('Local Parameter'!$D:$D,MATCH("mode",'Local Parameter'!$A:$A,0))),"",INDEX('Local Parameter'!$D:$D,MATCH("mode",'Local Parameter'!$A:$A,0)))&amp;","&amp;IF(ISBLANK(INDEX('Global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</f>
        <v/>
      </c>
    </row>
    <row r="3">
      <c r="A3" s="19" t="inlineStr">
        <is>
          <t>Case2</t>
        </is>
      </c>
      <c r="B3">
        <f>'Local Parameter'!$F$1&amp;","&amp;IF(ISBLANK(INDEX('Local Parameter'!$C:$C,MATCH("port",'Local Parameter'!$A:$A,0))),"GPIO",IF(INDEX('Local Parameter'!$C:$C,MATCH("port",'Local Parameter'!$A:$A,0))="","GPIO",INDEX('Local Parameter'!$C:$C,MATCH("port",'Local Parameter'!$A:$A,0))))&amp;IF(ISBLANK(INDEX('Local Parameter'!$F:$F,MATCH("port",'Local Parameter'!$A:$A,0))),"A",IF(INDEX('Local Parameter'!$F:$F,MATCH("port",'Local Parameter'!$A:$A,0))="","A",INDEX('Local Parameter'!$F:$F,MATCH("port",'Local Parameter'!$A:$A,0))))&amp;IF(ISBLANK(INDEX('Local Parameter'!$D:$D,MATCH("port",'Local Parameter'!$A:$A,0))),"_PORT",IF(INDEX('Local Parameter'!$D:$D,MATCH("port",'Local Parameter'!$A:$A,0))="","_PORT",INDEX('Local Parameter'!$D:$D,MATCH("port",'Local Parameter'!$A:$A,0))))&amp;","&amp;IF(ISBLANK(INDEX('Local Parameter'!$C:$C,MATCH("mode",'Local Parameter'!$A:$A,0))),"MODE_",IF(INDEX('Local Parameter'!$C:$C,MATCH("mode",'Local Parameter'!$A:$A,0))="","MODE_",INDEX('Local Parameter'!$C:$C,MATCH("mode",'Local Parameter'!$A:$A,0))))&amp;IF(ISBLANK(INDEX('Local Parameter'!$F:$F,MATCH("mode",'Local Parameter'!$A:$A,0))),"TX_RX",IF(INDEX('Local Parameter'!$F:$F,MATCH("mode",'Local Parameter'!$A:$A,0))="","TX_RX",INDEX('Local Parameter'!$F:$F,MATCH("mode",'Local Parameter'!$A:$A,0))))&amp;IF(ISBLANK(INDEX('Local Parameter'!$D:$D,MATCH("mode",'Local Parameter'!$A:$A,0))),"",INDEX('Local Parameter'!$D:$D,MATCH("mode",'Local Parameter'!$A:$A,0)))&amp;","&amp;IF(ISBLANK(INDEX('Global Parameter'!$D:$D,MATCH("baud",'Global Parameter'!$A:$A,0))),"",INDEX('Global Parameter'!$D:$D,MATCH("baud",'Global Parameter'!$A:$A,0)))&amp;IF(ISBLANK(INDEX('Global Parameter'!$B:$B,MATCH("baud",'Global Parameter'!$A:$A,0))),115200,IF(INDEX('Global Parameter'!$B:$B,MATCH("baud",'Global Parameter'!$A:$A,0))="",115200,INDEX('Global Parameter'!$B:$B,MATCH("baud",'Global Parameter'!$A:$A,0))))&amp;IF(ISBLANK(INDEX('Global Parameter'!$E:$E,MATCH("baud",'Global Parameter'!$A:$A,0))),"",INDEX('Global Parameter'!$E:$E,MATCH("baud",'Global Parameter'!$A:$A,0)))</f>
        <v/>
      </c>
    </row>
    <row r="4"/>
    <row r="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1" t="inlineStr">
        <is>
          <t>!! 只读参考：模板真源是 YAML / template_file；在这里改模板不会影响渲染结果</t>
        </is>
      </c>
    </row>
    <row r="2">
      <c r="A2" s="12" t="inlineStr">
        <is>
          <t>### uart_init</t>
        </is>
      </c>
    </row>
    <row r="3">
      <c r="A3" t="inlineStr">
        <is>
          <t>output_sheet</t>
        </is>
      </c>
      <c r="B3" t="inlineStr">
        <is>
          <t>Output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uart_init_{{ case_name }}.c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UART 初始化代码（公式模式）</t>
        </is>
      </c>
    </row>
    <row r="9">
      <c r="A9" s="12" t="inlineStr">
        <is>
          <t>code ↓</t>
        </is>
      </c>
    </row>
    <row r="10">
      <c r="A10" t="n">
        <v>1</v>
      </c>
      <c r="B10" t="inlineStr">
        <is>
          <t>// Case: {{ case_name }}</t>
        </is>
      </c>
    </row>
    <row r="11">
      <c r="A11" t="n">
        <v>2</v>
      </c>
      <c r="B11" t="inlineStr">
        <is>
          <t>UART_Init({{ baud }}, {{ port }}, {{ mode }});</t>
        </is>
      </c>
    </row>
    <row r="12">
      <c r="A12" t="n">
        <v>3</v>
      </c>
      <c r="B12" t="inlineStr">
        <is>
          <t>// 纯值: {{ port.value }}, 前缀: {{ port.prefix }}, 后缀: {{ port.suffix }}</t>
        </is>
      </c>
    </row>
    <row r="13">
      <c r="A13" t="n">
        <v>4</v>
      </c>
      <c r="B13" t="inlineStr">
        <is>
          <t>// 派生参数: {{ baud_khz }} kHz</t>
        </is>
      </c>
    </row>
    <row r="14">
      <c r="A14" t="n">
        <v>5</v>
      </c>
      <c r="B14" t="inlineStr">
        <is>
          <t>// MCU: {{ mcu }}</t>
        </is>
      </c>
    </row>
    <row r="15"/>
    <row r="16">
      <c r="A16" s="12" t="inlineStr">
        <is>
          <t>### uart_pins</t>
        </is>
      </c>
    </row>
    <row r="17">
      <c r="A17" t="inlineStr">
        <is>
          <t>output_sheet</t>
        </is>
      </c>
      <c r="B17" t="inlineStr">
        <is>
          <t>Output Vertical</t>
        </is>
      </c>
    </row>
    <row r="18">
      <c r="A18" t="inlineStr">
        <is>
          <t>start_cell</t>
        </is>
      </c>
      <c r="B18" t="inlineStr">
        <is>
          <t>B2</t>
        </is>
      </c>
    </row>
    <row r="19">
      <c r="A19" t="inlineStr">
        <is>
          <t>direction</t>
        </is>
      </c>
      <c r="B19" t="inlineStr">
        <is>
          <t>vertical</t>
        </is>
      </c>
    </row>
    <row r="20">
      <c r="A20" t="inlineStr">
        <is>
          <t>filename</t>
        </is>
      </c>
      <c r="B20" t="inlineStr">
        <is>
          <t>uart_pins_{{ case_name }}.csv</t>
        </is>
      </c>
    </row>
    <row r="21">
      <c r="A21" t="inlineStr">
        <is>
          <t>extension</t>
        </is>
      </c>
      <c r="B21" t="inlineStr">
        <is>
          <t>.txt</t>
        </is>
      </c>
    </row>
    <row r="22">
      <c r="A22" t="inlineStr">
        <is>
          <t>description</t>
        </is>
      </c>
      <c r="B22" t="inlineStr">
        <is>
          <t>端口占用表（公式模式，纵向）</t>
        </is>
      </c>
    </row>
    <row r="23">
      <c r="A23" s="12" t="inlineStr">
        <is>
          <t>code ↓</t>
        </is>
      </c>
    </row>
    <row r="24">
      <c r="A24" t="n">
        <v>1</v>
      </c>
      <c r="B24" t="inlineStr">
        <is>
          <t>{{ case_name }},{{ port }},{{ mode }},{{ baud }}</t>
        </is>
      </c>
    </row>
    <row r="26">
      <c r="A26" s="12" t="inlineStr">
        <is>
          <t>## excel-codegen-meta</t>
        </is>
      </c>
    </row>
    <row r="27">
      <c r="A27" t="inlineStr">
        <is>
          <t>时间</t>
        </is>
      </c>
      <c r="B27" t="inlineStr">
        <is>
          <t>2026-09-27 15:23:10</t>
        </is>
      </c>
    </row>
    <row r="28">
      <c r="A28" t="inlineStr">
        <is>
          <t>输出指纹</t>
        </is>
      </c>
      <c r="B28" t="inlineStr">
        <is>
          <t>e26b0dd65938</t>
        </is>
      </c>
    </row>
    <row r="29">
      <c r="A29" t="inlineStr">
        <is>
          <t>参数指纹</t>
        </is>
      </c>
      <c r="B29" t="inlineStr">
        <is>
          <t>b7f61318700d</t>
        </is>
      </c>
    </row>
    <row r="30">
      <c r="A30" t="inlineStr">
        <is>
          <t>case 数</t>
        </is>
      </c>
      <c r="B30" t="inlineStr">
        <is>
          <t>2</t>
        </is>
      </c>
    </row>
    <row r="31">
      <c r="A31" t="inlineStr">
        <is>
          <t>cases</t>
        </is>
      </c>
      <c r="B31" t="inlineStr">
        <is>
          <t>Case1, Case2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2026-09-27T07:23:10Z</dcterms:created>
  <dcterms:modified xsi:type="dcterms:W3CDTF">2026-09-27T07:23:10Z</dcterms:modified>
</cp:coreProperties>
</file>