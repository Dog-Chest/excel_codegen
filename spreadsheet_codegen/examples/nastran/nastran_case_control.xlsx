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Case Control" sheetId="4" state="visible" r:id="rId4"/>
    <sheet name="Summary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b val="1"/>
      <color rgb="FF1F3864"/>
      <sz val="14"/>
    </font>
    <font>
      <color rgb="FF606060"/>
      <sz val="9"/>
    </font>
    <font>
      <b val="1"/>
      <color rgb="FF1F3864"/>
      <sz val="11"/>
    </font>
    <font>
      <name val="Consolas"/>
      <sz val="10"/>
    </font>
    <font>
      <b val="1"/>
      <color rgb="FFC00000"/>
      <sz val="10"/>
    </font>
    <font>
      <b val="1"/>
    </font>
    <font>
      <b val="1"/>
      <color rgb="FF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top"/>
    </xf>
    <xf numFmtId="0" fontId="6" fillId="4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tc={00CF009F-0019-405E-9EFD-0007009200DA}</author>
  </authors>
  <commentList>
    <comment ref="A2" authorId="0" shapeId="0">
      <text>
        <t xml:space="preserve">excel_codegen:
ANALYSIS 语句的取值（整份模型共用）；留空则这条语句也不输出
填写位置：Global 表 B 列（所有 Case 共用）
类型：string
默认值：STATICS
模板里引用：{{ analysis }}
</t>
      </text>
    </comment>
  </commentList>
</comments>
</file>

<file path=xl/comments/comment2.xml><?xml version="1.0" encoding="utf-8"?>
<comments xmlns="http://schemas.openxmlformats.org/spreadsheetml/2006/main">
  <authors>
    <author>tc={00DC0050-0061-4DCA-B702-009000330074}</author>
    <author>tc={002900DC-00C7-42EE-B56A-00C9002300AB}</author>
    <author>tc={004B0060-000C-4171-B73A-001700B50093}</author>
    <author>tc={00F500CC-0071-4181-9B78-00D20067009E}</author>
    <author>tc={0068004B-0076-4FBD-A291-0026005C00A4}</author>
    <author>tc={006F00B1-0074-49DC-8A52-009800140099}</author>
    <author>tc={007300E6-0000-44D5-9CBF-00A000C9002A}</author>
    <author>tc={00CE00DE-003C-422A-B882-007000B80068}</author>
    <author>tc={001500BE-0089-4C7B-BDB1-003D00050098}</author>
  </authors>
  <commentList>
    <comment ref="B1" authorId="0" shapeId="0">
      <text>
        <t xml:space="preserve">excel_codegen:
排序号：只用来给导出文件排序（建议 01 / 02 …），不进入生成的语句
填写位置：Local 表 B 列（一个 Case 一行）
类型：string
默认值：01
模板里引用：{{ seq }}
</t>
      </text>
    </comment>
    <comment ref="C1" authorId="1" shapeId="0">
      <text>
        <t xml:space="preserve">excel_codegen:
这一行的类型：SUBCASE（普通子工况）/ SUBCOM（组合子工况）
填写位置：Local 表 C 列（一个 Case 一行）
类型：string
约束：可选: SUBCASE / SUBCOM
默认值：SUBCASE
模板里引用：{{ kind }}
</t>
      </text>
    </comment>
    <comment ref="D1" authorId="2" shapeId="0">
      <text>
        <t xml:space="preserve">excel_codegen:
子工况编号 [i]（SUBCASE / SUBCOM 后面的整数）
填写位置：Local 表 D 列（一个 Case 一行）
类型：int
约束：范围: &gt;= 1
默认值：1
模板里引用：{{ subcase_id }}
</t>
      </text>
    </comment>
    <comment ref="E1" authorId="3" shapeId="0">
      <text>
        <t xml:space="preserve">excel_codegen:
LABEL 语句；留空不输出
填写位置：Local 表 E 列（一个 Case 一行）
类型：string
模板里引用：{{ label }}
</t>
      </text>
    </comment>
    <comment ref="F1" authorId="4" shapeId="0">
      <text>
        <t xml:space="preserve">excel_codegen:
SUBTITLE 语句；留空不输出
填写位置：Local 表 F 列（一个 Case 一行）
类型：string
模板里引用：{{ subtitle }}
</t>
      </text>
    </comment>
    <comment ref="G1" authorId="5" shapeId="0">
      <text>
        <t xml:space="preserve">excel_codegen:
METHOD 语句（实特征值提取方法集号）；留空不输出
填写位置：Local 表 G 列（一个 Case 一行）
类型：string
模板里引用：{{ method }}
</t>
      </text>
    </comment>
    <comment ref="H1" authorId="6" shapeId="0">
      <text>
        <t xml:space="preserve">excel_codegen:
LOAD 语句（静力载荷集号）；留空不输出
填写位置：Local 表 H 列（一个 Case 一行）
类型：string
模板里引用：{{ load }}
</t>
      </text>
    </comment>
    <comment ref="I1" authorId="7" shapeId="0">
      <text>
        <t xml:space="preserve">excel_codegen:
SPC 语句（单点约束集号）；留空不输出
填写位置：Local 表 I 列（一个 Case 一行）
类型：string
模板里引用：{{ spc }}
</t>
      </text>
    </comment>
    <comment ref="J1" authorId="8" shapeId="0">
      <text>
        <t xml:space="preserve">excel_codegen:
SUBSEQ 语句的内容，原样输出（如 1, 1.2, 1.3）；留空不输出。只有 SUBCOM 用
填写位置：Local 表 J 列（一个 Case 一行）
类型：string
模板里引用：{{ subseq }}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30"/>
  <sheetViews>
    <sheetView zoomScale="100" workbookViewId="0">
      <selection activeCell="A1" activeCellId="0" sqref="A1"/>
    </sheetView>
  </sheetViews>
  <sheetFormatPr baseColWidth="8" defaultRowHeight="14.25"/>
  <cols>
    <col width="110" customWidth="1" min="1" max="1"/>
  </cols>
  <sheetData>
    <row r="1" ht="18.75" customHeight="1">
      <c r="A1" s="13" t="inlineStr">
        <is>
          <t>nastran_case_control.xlsx —— 参数填写与代码生成说明</t>
        </is>
      </c>
    </row>
    <row r="2">
      <c r="A2" s="14" t="inlineStr"/>
    </row>
    <row r="3">
      <c r="A3" s="15" t="inlineStr">
        <is>
          <t>这个工作簿怎么用</t>
        </is>
      </c>
    </row>
    <row r="4">
      <c r="A4" s="14" t="inlineStr">
        <is>
          <t xml:space="preserve">  1.  Global Parameter 的 B 列：全局变量取值（所有 Case 共用）。</t>
        </is>
      </c>
    </row>
    <row r="5">
      <c r="A5" s="14" t="inlineStr">
        <is>
          <t xml:space="preserve">  2.  Local Parameter 从第 2 行起：每个 Case 一行，下拉复制即可增加。</t>
        </is>
      </c>
    </row>
    <row r="6">
      <c r="A6" s="14" t="inlineStr">
        <is>
          <t xml:space="preserve">  3.  改完参数后回到命令行执行：</t>
        </is>
      </c>
    </row>
    <row r="7" ht="15" customHeight="1">
      <c r="A7" s="16" t="inlineStr">
        <is>
          <t xml:space="preserve">          spreadsheet-codegen render -c &lt;配置&gt;.yaml -x nastran_case_control.xlsx --write-excel</t>
        </is>
      </c>
    </row>
    <row r="8">
      <c r="A8" s="14" t="inlineStr">
        <is>
          <t xml:space="preserve">      只想导出代码文件就换成 --outdir &lt;目录&gt;；只预览不写回则什么参数都不加。</t>
        </is>
      </c>
    </row>
    <row r="9">
      <c r="A9" s="14" t="inlineStr">
        <is>
          <t xml:space="preserve">      ★ 懒得开终端就双击本文件旁边的 nastran_case_control_render.bat（Windows）或跑 nastran_case_control_render.sh（Linux / macOS）。</t>
        </is>
      </c>
    </row>
    <row r="10">
      <c r="A10" s="14" t="inlineStr">
        <is>
          <t xml:space="preserve">      想确认表里的代码是不是已经过期：spreadsheet-codegen check -c &lt;配置&gt;.yaml</t>
        </is>
      </c>
    </row>
    <row r="11">
      <c r="A11" s="14" t="inlineStr"/>
    </row>
    <row r="12">
      <c r="A12" s="15" t="inlineStr">
        <is>
          <t>★  部分输出表是公式（engine: excel）：改参数后 Excel 打开即重算，不用跑脚本</t>
        </is>
      </c>
    </row>
    <row r="13">
      <c r="A13" s="14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14" t="inlineStr">
        <is>
          <t xml:space="preserve">   不带 --write-excel 的 render 只预览，不会改变本文件。</t>
        </is>
      </c>
    </row>
    <row r="15">
      <c r="A15" s="14" t="inlineStr"/>
    </row>
    <row r="16">
      <c r="A16" s="15" t="inlineStr">
        <is>
          <t>输出位置</t>
        </is>
      </c>
    </row>
    <row r="17" ht="15" customHeight="1">
      <c r="A17" s="17" t="inlineStr">
        <is>
          <t xml:space="preserve">  case_control: Case Control @ B2 (horizontal)［公式·自动重算］</t>
        </is>
      </c>
    </row>
    <row r="18" ht="15" customHeight="1">
      <c r="A18" s="17" t="inlineStr">
        <is>
          <t xml:space="preserve">  cc_summary: Summary @ B2 (vertical)［公式·自动重算］</t>
        </is>
      </c>
    </row>
    <row r="19">
      <c r="A19" s="14" t="inlineStr">
        <is>
          <t xml:space="preserve">  Template（隐藏）：模板原文，只读参考，改它不影响渲染结果。</t>
        </is>
      </c>
    </row>
    <row r="20">
      <c r="A20" s="14" t="inlineStr"/>
    </row>
    <row r="21">
      <c r="A21" s="15" t="inlineStr">
        <is>
          <t>本次生成</t>
        </is>
      </c>
    </row>
    <row r="22">
      <c r="A22" s="14" t="inlineStr">
        <is>
          <t xml:space="preserve">  时间        2026-09-27 17:00:43</t>
        </is>
      </c>
    </row>
    <row r="23">
      <c r="A23" s="14" t="inlineStr">
        <is>
          <t xml:space="preserve">  输出指纹      521a09ab1380</t>
        </is>
      </c>
    </row>
    <row r="24">
      <c r="A24" s="14" t="inlineStr">
        <is>
          <t xml:space="preserve">  参数指纹      893a98e720ab</t>
        </is>
      </c>
    </row>
    <row r="25">
      <c r="A25" s="14" t="inlineStr">
        <is>
          <t xml:space="preserve">  case 数    5</t>
        </is>
      </c>
    </row>
    <row r="26">
      <c r="A26" s="14" t="inlineStr">
        <is>
          <t xml:space="preserve">  cases     LC1, LC2, LC3, COMB4, LC5</t>
        </is>
      </c>
    </row>
    <row r="27" ht="15" customHeight="1">
      <c r="A27" s="17" t="inlineStr">
        <is>
          <t xml:space="preserve">  命令      spreadsheet-codegen render -c examples/nastran_case_control.yaml -x examples/nastran_case_control.xlsx --write-excel --outdir examples/generated_nastran</t>
        </is>
      </c>
    </row>
    <row r="28">
      <c r="A28" s="14" t="inlineStr"/>
    </row>
    <row r="29">
      <c r="A29" s="15" t="inlineStr">
        <is>
          <t>工况一览（来自上一次渲染）</t>
        </is>
      </c>
    </row>
    <row r="30" ht="15" customHeight="1">
      <c r="A30" s="17" t="inlineStr">
        <is>
          <t xml:space="preserve">  LC1, LC2, LC3, COMB4, LC5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2"/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analysis</t>
        </is>
      </c>
      <c r="B2" s="9" t="n"/>
      <c r="C2" t="inlineStr">
        <is>
          <t>ANALYSIS 语句的取值（整份模型共用）；留空则这条语句也不输出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J6"/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24" customWidth="1" min="4" max="4"/>
    <col width="19" customWidth="1" min="5" max="5"/>
    <col width="22" customWidth="1" min="6" max="6"/>
    <col width="20" customWidth="1" min="7" max="7"/>
    <col width="18" customWidth="1" min="8" max="8"/>
    <col width="17" customWidth="1" min="9" max="9"/>
    <col width="20" customWidth="1" min="10" max="10"/>
  </cols>
  <sheetData>
    <row r="1">
      <c r="A1" s="10" t="inlineStr">
        <is>
          <t>Case</t>
        </is>
      </c>
      <c r="B1" t="inlineStr">
        <is>
          <t>seq</t>
        </is>
      </c>
      <c r="C1" t="inlineStr">
        <is>
          <t>kind</t>
        </is>
      </c>
      <c r="D1" t="inlineStr">
        <is>
          <t>subcase_id</t>
        </is>
      </c>
      <c r="E1" t="inlineStr">
        <is>
          <t>label</t>
        </is>
      </c>
      <c r="F1" t="inlineStr">
        <is>
          <t>subtitle</t>
        </is>
      </c>
      <c r="G1" t="inlineStr">
        <is>
          <t>method</t>
        </is>
      </c>
      <c r="H1" t="inlineStr">
        <is>
          <t>load</t>
        </is>
      </c>
      <c r="I1" t="inlineStr">
        <is>
          <t>spc</t>
        </is>
      </c>
      <c r="J1" t="inlineStr">
        <is>
          <t>subseq</t>
        </is>
      </c>
    </row>
    <row r="2">
      <c r="A2" s="10" t="inlineStr">
        <is>
          <t>LC1</t>
        </is>
      </c>
      <c r="B2" s="9" t="inlineStr">
        <is>
          <t>01</t>
        </is>
      </c>
      <c r="C2" s="9" t="inlineStr">
        <is>
          <t>SUBCASE</t>
        </is>
      </c>
      <c r="D2" s="9" t="n">
        <v>1</v>
      </c>
      <c r="E2" s="9" t="n"/>
      <c r="F2" s="9" t="inlineStr">
        <is>
          <t>HEAD SEA</t>
        </is>
      </c>
      <c r="G2" s="9" t="n"/>
      <c r="H2" s="9" t="n">
        <v>1001</v>
      </c>
      <c r="I2" s="9" t="inlineStr">
        <is>
          <t>1</t>
        </is>
      </c>
      <c r="J2" s="9" t="n"/>
    </row>
    <row r="3">
      <c r="A3" s="10" t="inlineStr">
        <is>
          <t>LC2</t>
        </is>
      </c>
      <c r="B3" s="9" t="inlineStr">
        <is>
          <t>02</t>
        </is>
      </c>
      <c r="C3" s="9" t="inlineStr">
        <is>
          <t>SUBCASE</t>
        </is>
      </c>
      <c r="D3" s="9" t="n">
        <v>2</v>
      </c>
      <c r="E3" s="9" t="n"/>
      <c r="F3" s="9" t="inlineStr">
        <is>
          <t>BEAM SEA</t>
        </is>
      </c>
      <c r="G3" s="9" t="n"/>
      <c r="H3" s="9" t="n">
        <v>1002</v>
      </c>
      <c r="I3" s="9" t="inlineStr">
        <is>
          <t>1</t>
        </is>
      </c>
      <c r="J3" s="9" t="n"/>
    </row>
    <row r="4">
      <c r="A4" s="10" t="inlineStr">
        <is>
          <t>LC3</t>
        </is>
      </c>
      <c r="B4" s="9" t="inlineStr">
        <is>
          <t>03</t>
        </is>
      </c>
      <c r="C4" s="9" t="inlineStr">
        <is>
          <t>SUBCASE</t>
        </is>
      </c>
      <c r="D4" s="9" t="n">
        <v>3</v>
      </c>
      <c r="E4" s="9" t="inlineStr">
        <is>
          <t>QTR</t>
        </is>
      </c>
      <c r="F4" s="9" t="inlineStr">
        <is>
          <t>QUARTERING SEA</t>
        </is>
      </c>
      <c r="G4" s="9" t="inlineStr">
        <is>
          <t>1</t>
        </is>
      </c>
      <c r="H4" s="9" t="n">
        <v>1003</v>
      </c>
      <c r="I4" s="9" t="inlineStr">
        <is>
          <t>2</t>
        </is>
      </c>
      <c r="J4" s="9" t="n"/>
    </row>
    <row r="5">
      <c r="A5" s="10" t="inlineStr">
        <is>
          <t>COMB4</t>
        </is>
      </c>
      <c r="B5" s="9" t="inlineStr">
        <is>
          <t>04</t>
        </is>
      </c>
      <c r="C5" s="9" t="inlineStr">
        <is>
          <t>SUBCOM</t>
        </is>
      </c>
      <c r="D5" s="9" t="n">
        <v>4</v>
      </c>
      <c r="E5" s="9" t="n"/>
      <c r="F5" s="9" t="inlineStr">
        <is>
          <t>COMBINED 1.0 / 1.2 / 1.3</t>
        </is>
      </c>
      <c r="G5" s="9" t="n"/>
      <c r="H5" s="9" t="n"/>
      <c r="I5" s="9" t="n"/>
      <c r="J5" s="9" t="inlineStr">
        <is>
          <t>1, 1.2, 1.3</t>
        </is>
      </c>
    </row>
    <row r="6">
      <c r="A6" s="10" t="inlineStr">
        <is>
          <t>LC5</t>
        </is>
      </c>
      <c r="B6" s="9" t="inlineStr">
        <is>
          <t>05</t>
        </is>
      </c>
      <c r="C6" s="9" t="inlineStr">
        <is>
          <t>SUBCASE</t>
        </is>
      </c>
      <c r="D6" s="9" t="n">
        <v>5</v>
      </c>
      <c r="E6" s="9" t="n"/>
      <c r="F6" s="9" t="n"/>
      <c r="G6" s="9" t="n"/>
      <c r="H6" s="9" t="n"/>
      <c r="I6" s="9" t="n"/>
      <c r="J6" s="9" t="n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F9"/>
  <sheetViews>
    <sheetView zoomScale="100" workbookViewId="0">
      <selection activeCell="A1" activeCellId="0" sqref="A1"/>
    </sheetView>
  </sheetViews>
  <sheetFormatPr baseColWidth="8" defaultRowHeight="15"/>
  <cols>
    <col width="160" customWidth="1" min="2" max="3"/>
    <col width="160" customWidth="1" min="3" max="3"/>
    <col width="160" customWidth="1" min="4" max="4"/>
    <col width="160" customWidth="1" min="5" max="5"/>
    <col width="160" customWidth="1" min="6" max="6"/>
  </cols>
  <sheetData>
    <row r="1">
      <c r="B1" s="18" t="inlineStr">
        <is>
          <t>LC1</t>
        </is>
      </c>
      <c r="C1" s="18" t="inlineStr">
        <is>
          <t>LC2</t>
        </is>
      </c>
      <c r="D1" s="18" t="inlineStr">
        <is>
          <t>LC3</t>
        </is>
      </c>
      <c r="E1" s="18" t="inlineStr">
        <is>
          <t>COMB4</t>
        </is>
      </c>
      <c r="F1" s="18" t="inlineStr">
        <is>
          <t>LC5</t>
        </is>
      </c>
    </row>
    <row r="2">
      <c r="B2">
        <f>""&amp;IF(ISBLANK(INDEX('Local Parameter'!$A:$ZZ,2,MATCH("kind",'Local Parameter'!$1:$1,0))),"SUBCASE",IF(INDEX('Local Parameter'!$A:$ZZ,2,MATCH("kind",'Local Parameter'!$1:$1,0))="","SUBCASE",INDEX('Local Parameter'!$A:$ZZ,2,MATCH("kind",'Local Parameter'!$1:$1,0))))&amp;""&amp;" "&amp;""&amp;IF(ISBLANK(INDEX('Local Parameter'!$A:$ZZ,2,MATCH("subcase_id",'Local Parameter'!$1:$1,0))),1,IF(INDEX('Local Parameter'!$A:$ZZ,2,MATCH("subcase_id",'Local Parameter'!$1:$1,0))="",1,INDEX('Local Parameter'!$A:$ZZ,2,MATCH("subcase_id",'Local Parameter'!$1:$1,0))))&amp;""</f>
        <v/>
      </c>
      <c r="C2">
        <f>""&amp;IF(ISBLANK(INDEX('Local Parameter'!$A:$ZZ,3,MATCH("kind",'Local Parameter'!$1:$1,0))),"SUBCASE",IF(INDEX('Local Parameter'!$A:$ZZ,3,MATCH("kind",'Local Parameter'!$1:$1,0))="","SUBCASE",INDEX('Local Parameter'!$A:$ZZ,3,MATCH("kind",'Local Parameter'!$1:$1,0))))&amp;""&amp;" "&amp;""&amp;IF(ISBLANK(INDEX('Local Parameter'!$A:$ZZ,3,MATCH("subcase_id",'Local Parameter'!$1:$1,0))),1,IF(INDEX('Local Parameter'!$A:$ZZ,3,MATCH("subcase_id",'Local Parameter'!$1:$1,0))="",1,INDEX('Local Parameter'!$A:$ZZ,3,MATCH("subcase_id",'Local Parameter'!$1:$1,0))))&amp;""</f>
        <v/>
      </c>
      <c r="D2">
        <f>""&amp;IF(ISBLANK(INDEX('Local Parameter'!$A:$ZZ,4,MATCH("kind",'Local Parameter'!$1:$1,0))),"SUBCASE",IF(INDEX('Local Parameter'!$A:$ZZ,4,MATCH("kind",'Local Parameter'!$1:$1,0))="","SUBCASE",INDEX('Local Parameter'!$A:$ZZ,4,MATCH("kind",'Local Parameter'!$1:$1,0))))&amp;""&amp;" "&amp;""&amp;IF(ISBLANK(INDEX('Local Parameter'!$A:$ZZ,4,MATCH("subcase_id",'Local Parameter'!$1:$1,0))),1,IF(INDEX('Local Parameter'!$A:$ZZ,4,MATCH("subcase_id",'Local Parameter'!$1:$1,0))="",1,INDEX('Local Parameter'!$A:$ZZ,4,MATCH("subcase_id",'Local Parameter'!$1:$1,0))))&amp;""</f>
        <v/>
      </c>
      <c r="E2">
        <f>""&amp;IF(ISBLANK(INDEX('Local Parameter'!$A:$ZZ,5,MATCH("kind",'Local Parameter'!$1:$1,0))),"SUBCASE",IF(INDEX('Local Parameter'!$A:$ZZ,5,MATCH("kind",'Local Parameter'!$1:$1,0))="","SUBCASE",INDEX('Local Parameter'!$A:$ZZ,5,MATCH("kind",'Local Parameter'!$1:$1,0))))&amp;""&amp;" "&amp;""&amp;IF(ISBLANK(INDEX('Local Parameter'!$A:$ZZ,5,MATCH("subcase_id",'Local Parameter'!$1:$1,0))),1,IF(INDEX('Local Parameter'!$A:$ZZ,5,MATCH("subcase_id",'Local Parameter'!$1:$1,0))="",1,INDEX('Local Parameter'!$A:$ZZ,5,MATCH("subcase_id",'Local Parameter'!$1:$1,0))))&amp;""</f>
        <v/>
      </c>
      <c r="F2">
        <f>""&amp;IF(ISBLANK(INDEX('Local Parameter'!$A:$ZZ,6,MATCH("kind",'Local Parameter'!$1:$1,0))),"SUBCASE",IF(INDEX('Local Parameter'!$A:$ZZ,6,MATCH("kind",'Local Parameter'!$1:$1,0))="","SUBCASE",INDEX('Local Parameter'!$A:$ZZ,6,MATCH("kind",'Local Parameter'!$1:$1,0))))&amp;""&amp;" "&amp;""&amp;IF(ISBLANK(INDEX('Local Parameter'!$A:$ZZ,6,MATCH("subcase_id",'Local Parameter'!$1:$1,0))),1,IF(INDEX('Local Parameter'!$A:$ZZ,6,MATCH("subcase_id",'Local Parameter'!$1:$1,0))="",1,INDEX('Local Parameter'!$A:$ZZ,6,MATCH("subcase_id",'Local Parameter'!$1:$1,0))))&amp;""</f>
        <v/>
      </c>
    </row>
    <row r="3">
      <c r="B3">
        <f>IF((IF(ISBLANK(INDEX('Local Parameter'!$A:$ZZ,2,MATCH("label",'Local Parameter'!$1:$1,0))),"",INDEX('Local Parameter'!$A:$ZZ,2,MATCH("label",'Local Parameter'!$1:$1,0)))&lt;&gt;""),"LABEL = "&amp;""&amp;IF(ISBLANK(INDEX('Local Parameter'!$A:$ZZ,2,MATCH("label",'Local Parameter'!$1:$1,0))),"",INDEX('Local Parameter'!$A:$ZZ,2,MATCH("label",'Local Parameter'!$1:$1,0)))&amp;"","")</f>
        <v/>
      </c>
      <c r="C3">
        <f>IF((IF(ISBLANK(INDEX('Local Parameter'!$A:$ZZ,3,MATCH("label",'Local Parameter'!$1:$1,0))),"",INDEX('Local Parameter'!$A:$ZZ,3,MATCH("label",'Local Parameter'!$1:$1,0)))&lt;&gt;""),"LABEL = "&amp;""&amp;IF(ISBLANK(INDEX('Local Parameter'!$A:$ZZ,3,MATCH("label",'Local Parameter'!$1:$1,0))),"",INDEX('Local Parameter'!$A:$ZZ,3,MATCH("label",'Local Parameter'!$1:$1,0)))&amp;"","")</f>
        <v/>
      </c>
      <c r="D3">
        <f>IF((IF(ISBLANK(INDEX('Local Parameter'!$A:$ZZ,4,MATCH("label",'Local Parameter'!$1:$1,0))),"",INDEX('Local Parameter'!$A:$ZZ,4,MATCH("label",'Local Parameter'!$1:$1,0)))&lt;&gt;""),"LABEL = "&amp;""&amp;IF(ISBLANK(INDEX('Local Parameter'!$A:$ZZ,4,MATCH("label",'Local Parameter'!$1:$1,0))),"",INDEX('Local Parameter'!$A:$ZZ,4,MATCH("label",'Local Parameter'!$1:$1,0)))&amp;"","")</f>
        <v/>
      </c>
      <c r="E3">
        <f>IF((IF(ISBLANK(INDEX('Local Parameter'!$A:$ZZ,5,MATCH("label",'Local Parameter'!$1:$1,0))),"",INDEX('Local Parameter'!$A:$ZZ,5,MATCH("label",'Local Parameter'!$1:$1,0)))&lt;&gt;""),"LABEL = "&amp;""&amp;IF(ISBLANK(INDEX('Local Parameter'!$A:$ZZ,5,MATCH("label",'Local Parameter'!$1:$1,0))),"",INDEX('Local Parameter'!$A:$ZZ,5,MATCH("label",'Local Parameter'!$1:$1,0)))&amp;"","")</f>
        <v/>
      </c>
      <c r="F3">
        <f>IF((IF(ISBLANK(INDEX('Local Parameter'!$A:$ZZ,6,MATCH("label",'Local Parameter'!$1:$1,0))),"",INDEX('Local Parameter'!$A:$ZZ,6,MATCH("label",'Local Parameter'!$1:$1,0)))&lt;&gt;""),"LABEL = "&amp;""&amp;IF(ISBLANK(INDEX('Local Parameter'!$A:$ZZ,6,MATCH("label",'Local Parameter'!$1:$1,0))),"",INDEX('Local Parameter'!$A:$ZZ,6,MATCH("label",'Local Parameter'!$1:$1,0)))&amp;"","")</f>
        <v/>
      </c>
    </row>
    <row r="4">
      <c r="B4">
        <f>IF((IF(ISBLANK(INDEX('Local Parameter'!$A:$ZZ,2,MATCH("subtitle",'Local Parameter'!$1:$1,0))),"",INDEX('Local Parameter'!$A:$ZZ,2,MATCH("subtitle",'Local Parameter'!$1:$1,0)))&lt;&gt;""),"SUBTITLE = "&amp;""&amp;IF(ISBLANK(INDEX('Local Parameter'!$A:$ZZ,2,MATCH("subtitle",'Local Parameter'!$1:$1,0))),"",INDEX('Local Parameter'!$A:$ZZ,2,MATCH("subtitle",'Local Parameter'!$1:$1,0)))&amp;"","")</f>
        <v/>
      </c>
      <c r="C4">
        <f>IF((IF(ISBLANK(INDEX('Local Parameter'!$A:$ZZ,3,MATCH("subtitle",'Local Parameter'!$1:$1,0))),"",INDEX('Local Parameter'!$A:$ZZ,3,MATCH("subtitle",'Local Parameter'!$1:$1,0)))&lt;&gt;""),"SUBTITLE = "&amp;""&amp;IF(ISBLANK(INDEX('Local Parameter'!$A:$ZZ,3,MATCH("subtitle",'Local Parameter'!$1:$1,0))),"",INDEX('Local Parameter'!$A:$ZZ,3,MATCH("subtitle",'Local Parameter'!$1:$1,0)))&amp;"","")</f>
        <v/>
      </c>
      <c r="D4">
        <f>IF((IF(ISBLANK(INDEX('Local Parameter'!$A:$ZZ,4,MATCH("subtitle",'Local Parameter'!$1:$1,0))),"",INDEX('Local Parameter'!$A:$ZZ,4,MATCH("subtitle",'Local Parameter'!$1:$1,0)))&lt;&gt;""),"SUBTITLE = "&amp;""&amp;IF(ISBLANK(INDEX('Local Parameter'!$A:$ZZ,4,MATCH("subtitle",'Local Parameter'!$1:$1,0))),"",INDEX('Local Parameter'!$A:$ZZ,4,MATCH("subtitle",'Local Parameter'!$1:$1,0)))&amp;"","")</f>
        <v/>
      </c>
      <c r="E4">
        <f>IF((IF(ISBLANK(INDEX('Local Parameter'!$A:$ZZ,5,MATCH("subtitle",'Local Parameter'!$1:$1,0))),"",INDEX('Local Parameter'!$A:$ZZ,5,MATCH("subtitle",'Local Parameter'!$1:$1,0)))&lt;&gt;""),"SUBTITLE = "&amp;""&amp;IF(ISBLANK(INDEX('Local Parameter'!$A:$ZZ,5,MATCH("subtitle",'Local Parameter'!$1:$1,0))),"",INDEX('Local Parameter'!$A:$ZZ,5,MATCH("subtitle",'Local Parameter'!$1:$1,0)))&amp;"","")</f>
        <v/>
      </c>
      <c r="F4">
        <f>IF((IF(ISBLANK(INDEX('Local Parameter'!$A:$ZZ,6,MATCH("subtitle",'Local Parameter'!$1:$1,0))),"",INDEX('Local Parameter'!$A:$ZZ,6,MATCH("subtitle",'Local Parameter'!$1:$1,0)))&lt;&gt;""),"SUBTITLE = "&amp;""&amp;IF(ISBLANK(INDEX('Local Parameter'!$A:$ZZ,6,MATCH("subtitle",'Local Parameter'!$1:$1,0))),"",INDEX('Local Parameter'!$A:$ZZ,6,MATCH("subtitle",'Local Parameter'!$1:$1,0)))&amp;"","")</f>
        <v/>
      </c>
    </row>
    <row r="5">
      <c r="B5">
        <f>IF((IF(ISBLANK(INDEX('Global Parameter'!$B:$B,MATCH("analysis",'Global Parameter'!$A:$A,0))),"",INDEX('Global Parameter'!$B:$B,MATCH("analysis",'Global Parameter'!$A:$A,0)))&lt;&gt;""),"ANALYSIS = "&amp;IF(ISBLANK(INDEX('Global Parameter'!$D:$D,MATCH("analysis",'Global Parameter'!$A:$A,0))),"",INDEX('Global Parameter'!$D:$D,MATCH("analysis",'Global Parameter'!$A:$A,0)))&amp;IF(ISBLANK(INDEX('Global Parameter'!$B:$B,MATCH("analysis",'Global Parameter'!$A:$A,0))),"",INDEX('Global Parameter'!$B:$B,MATCH("analysis",'Global Parameter'!$A:$A,0)))&amp;IF(ISBLANK(INDEX('Global Parameter'!$E:$E,MATCH("analysis",'Global Parameter'!$A:$A,0))),"",INDEX('Global Parameter'!$E:$E,MATCH("analysis",'Global Parameter'!$A:$A,0))),"")</f>
        <v/>
      </c>
      <c r="C5">
        <f>IF((IF(ISBLANK(INDEX('Global Parameter'!$B:$B,MATCH("analysis",'Global Parameter'!$A:$A,0))),"",INDEX('Global Parameter'!$B:$B,MATCH("analysis",'Global Parameter'!$A:$A,0)))&lt;&gt;""),"ANALYSIS = "&amp;IF(ISBLANK(INDEX('Global Parameter'!$D:$D,MATCH("analysis",'Global Parameter'!$A:$A,0))),"",INDEX('Global Parameter'!$D:$D,MATCH("analysis",'Global Parameter'!$A:$A,0)))&amp;IF(ISBLANK(INDEX('Global Parameter'!$B:$B,MATCH("analysis",'Global Parameter'!$A:$A,0))),"",INDEX('Global Parameter'!$B:$B,MATCH("analysis",'Global Parameter'!$A:$A,0)))&amp;IF(ISBLANK(INDEX('Global Parameter'!$E:$E,MATCH("analysis",'Global Parameter'!$A:$A,0))),"",INDEX('Global Parameter'!$E:$E,MATCH("analysis",'Global Parameter'!$A:$A,0))),"")</f>
        <v/>
      </c>
      <c r="D5">
        <f>IF((IF(ISBLANK(INDEX('Global Parameter'!$B:$B,MATCH("analysis",'Global Parameter'!$A:$A,0))),"",INDEX('Global Parameter'!$B:$B,MATCH("analysis",'Global Parameter'!$A:$A,0)))&lt;&gt;""),"ANALYSIS = "&amp;IF(ISBLANK(INDEX('Global Parameter'!$D:$D,MATCH("analysis",'Global Parameter'!$A:$A,0))),"",INDEX('Global Parameter'!$D:$D,MATCH("analysis",'Global Parameter'!$A:$A,0)))&amp;IF(ISBLANK(INDEX('Global Parameter'!$B:$B,MATCH("analysis",'Global Parameter'!$A:$A,0))),"",INDEX('Global Parameter'!$B:$B,MATCH("analysis",'Global Parameter'!$A:$A,0)))&amp;IF(ISBLANK(INDEX('Global Parameter'!$E:$E,MATCH("analysis",'Global Parameter'!$A:$A,0))),"",INDEX('Global Parameter'!$E:$E,MATCH("analysis",'Global Parameter'!$A:$A,0))),"")</f>
        <v/>
      </c>
      <c r="E5">
        <f>IF((IF(ISBLANK(INDEX('Global Parameter'!$B:$B,MATCH("analysis",'Global Parameter'!$A:$A,0))),"",INDEX('Global Parameter'!$B:$B,MATCH("analysis",'Global Parameter'!$A:$A,0)))&lt;&gt;""),"ANALYSIS = "&amp;IF(ISBLANK(INDEX('Global Parameter'!$D:$D,MATCH("analysis",'Global Parameter'!$A:$A,0))),"",INDEX('Global Parameter'!$D:$D,MATCH("analysis",'Global Parameter'!$A:$A,0)))&amp;IF(ISBLANK(INDEX('Global Parameter'!$B:$B,MATCH("analysis",'Global Parameter'!$A:$A,0))),"",INDEX('Global Parameter'!$B:$B,MATCH("analysis",'Global Parameter'!$A:$A,0)))&amp;IF(ISBLANK(INDEX('Global Parameter'!$E:$E,MATCH("analysis",'Global Parameter'!$A:$A,0))),"",INDEX('Global Parameter'!$E:$E,MATCH("analysis",'Global Parameter'!$A:$A,0))),"")</f>
        <v/>
      </c>
      <c r="F5">
        <f>IF((IF(ISBLANK(INDEX('Global Parameter'!$B:$B,MATCH("analysis",'Global Parameter'!$A:$A,0))),"",INDEX('Global Parameter'!$B:$B,MATCH("analysis",'Global Parameter'!$A:$A,0)))&lt;&gt;""),"ANALYSIS = "&amp;IF(ISBLANK(INDEX('Global Parameter'!$D:$D,MATCH("analysis",'Global Parameter'!$A:$A,0))),"",INDEX('Global Parameter'!$D:$D,MATCH("analysis",'Global Parameter'!$A:$A,0)))&amp;IF(ISBLANK(INDEX('Global Parameter'!$B:$B,MATCH("analysis",'Global Parameter'!$A:$A,0))),"",INDEX('Global Parameter'!$B:$B,MATCH("analysis",'Global Parameter'!$A:$A,0)))&amp;IF(ISBLANK(INDEX('Global Parameter'!$E:$E,MATCH("analysis",'Global Parameter'!$A:$A,0))),"",INDEX('Global Parameter'!$E:$E,MATCH("analysis",'Global Parameter'!$A:$A,0))),"")</f>
        <v/>
      </c>
    </row>
    <row r="6">
      <c r="B6">
        <f>IF((IF(ISBLANK(INDEX('Local Parameter'!$A:$ZZ,2,MATCH("method",'Local Parameter'!$1:$1,0))),"",INDEX('Local Parameter'!$A:$ZZ,2,MATCH("method",'Local Parameter'!$1:$1,0)))&lt;&gt;""),"METHOD = "&amp;""&amp;IF(ISBLANK(INDEX('Local Parameter'!$A:$ZZ,2,MATCH("method",'Local Parameter'!$1:$1,0))),"",INDEX('Local Parameter'!$A:$ZZ,2,MATCH("method",'Local Parameter'!$1:$1,0)))&amp;"","")</f>
        <v/>
      </c>
      <c r="C6">
        <f>IF((IF(ISBLANK(INDEX('Local Parameter'!$A:$ZZ,3,MATCH("method",'Local Parameter'!$1:$1,0))),"",INDEX('Local Parameter'!$A:$ZZ,3,MATCH("method",'Local Parameter'!$1:$1,0)))&lt;&gt;""),"METHOD = "&amp;""&amp;IF(ISBLANK(INDEX('Local Parameter'!$A:$ZZ,3,MATCH("method",'Local Parameter'!$1:$1,0))),"",INDEX('Local Parameter'!$A:$ZZ,3,MATCH("method",'Local Parameter'!$1:$1,0)))&amp;"","")</f>
        <v/>
      </c>
      <c r="D6">
        <f>IF((IF(ISBLANK(INDEX('Local Parameter'!$A:$ZZ,4,MATCH("method",'Local Parameter'!$1:$1,0))),"",INDEX('Local Parameter'!$A:$ZZ,4,MATCH("method",'Local Parameter'!$1:$1,0)))&lt;&gt;""),"METHOD = "&amp;""&amp;IF(ISBLANK(INDEX('Local Parameter'!$A:$ZZ,4,MATCH("method",'Local Parameter'!$1:$1,0))),"",INDEX('Local Parameter'!$A:$ZZ,4,MATCH("method",'Local Parameter'!$1:$1,0)))&amp;"","")</f>
        <v/>
      </c>
      <c r="E6">
        <f>IF((IF(ISBLANK(INDEX('Local Parameter'!$A:$ZZ,5,MATCH("method",'Local Parameter'!$1:$1,0))),"",INDEX('Local Parameter'!$A:$ZZ,5,MATCH("method",'Local Parameter'!$1:$1,0)))&lt;&gt;""),"METHOD = "&amp;""&amp;IF(ISBLANK(INDEX('Local Parameter'!$A:$ZZ,5,MATCH("method",'Local Parameter'!$1:$1,0))),"",INDEX('Local Parameter'!$A:$ZZ,5,MATCH("method",'Local Parameter'!$1:$1,0)))&amp;"","")</f>
        <v/>
      </c>
      <c r="F6">
        <f>IF((IF(ISBLANK(INDEX('Local Parameter'!$A:$ZZ,6,MATCH("method",'Local Parameter'!$1:$1,0))),"",INDEX('Local Parameter'!$A:$ZZ,6,MATCH("method",'Local Parameter'!$1:$1,0)))&lt;&gt;""),"METHOD = "&amp;""&amp;IF(ISBLANK(INDEX('Local Parameter'!$A:$ZZ,6,MATCH("method",'Local Parameter'!$1:$1,0))),"",INDEX('Local Parameter'!$A:$ZZ,6,MATCH("method",'Local Parameter'!$1:$1,0)))&amp;"","")</f>
        <v/>
      </c>
    </row>
    <row r="7">
      <c r="B7">
        <f>IF((IF(ISBLANK(INDEX('Local Parameter'!$A:$ZZ,2,MATCH("load",'Local Parameter'!$1:$1,0))),"",INDEX('Local Parameter'!$A:$ZZ,2,MATCH("load",'Local Parameter'!$1:$1,0)))&lt;&gt;""),"LOAD = "&amp;""&amp;IF(ISBLANK(INDEX('Local Parameter'!$A:$ZZ,2,MATCH("load",'Local Parameter'!$1:$1,0))),"",INDEX('Local Parameter'!$A:$ZZ,2,MATCH("load",'Local Parameter'!$1:$1,0)))&amp;"","")</f>
        <v/>
      </c>
      <c r="C7">
        <f>IF((IF(ISBLANK(INDEX('Local Parameter'!$A:$ZZ,3,MATCH("load",'Local Parameter'!$1:$1,0))),"",INDEX('Local Parameter'!$A:$ZZ,3,MATCH("load",'Local Parameter'!$1:$1,0)))&lt;&gt;""),"LOAD = "&amp;""&amp;IF(ISBLANK(INDEX('Local Parameter'!$A:$ZZ,3,MATCH("load",'Local Parameter'!$1:$1,0))),"",INDEX('Local Parameter'!$A:$ZZ,3,MATCH("load",'Local Parameter'!$1:$1,0)))&amp;"","")</f>
        <v/>
      </c>
      <c r="D7">
        <f>IF((IF(ISBLANK(INDEX('Local Parameter'!$A:$ZZ,4,MATCH("load",'Local Parameter'!$1:$1,0))),"",INDEX('Local Parameter'!$A:$ZZ,4,MATCH("load",'Local Parameter'!$1:$1,0)))&lt;&gt;""),"LOAD = "&amp;""&amp;IF(ISBLANK(INDEX('Local Parameter'!$A:$ZZ,4,MATCH("load",'Local Parameter'!$1:$1,0))),"",INDEX('Local Parameter'!$A:$ZZ,4,MATCH("load",'Local Parameter'!$1:$1,0)))&amp;"","")</f>
        <v/>
      </c>
      <c r="E7">
        <f>IF((IF(ISBLANK(INDEX('Local Parameter'!$A:$ZZ,5,MATCH("load",'Local Parameter'!$1:$1,0))),"",INDEX('Local Parameter'!$A:$ZZ,5,MATCH("load",'Local Parameter'!$1:$1,0)))&lt;&gt;""),"LOAD = "&amp;""&amp;IF(ISBLANK(INDEX('Local Parameter'!$A:$ZZ,5,MATCH("load",'Local Parameter'!$1:$1,0))),"",INDEX('Local Parameter'!$A:$ZZ,5,MATCH("load",'Local Parameter'!$1:$1,0)))&amp;"","")</f>
        <v/>
      </c>
      <c r="F7">
        <f>IF((IF(ISBLANK(INDEX('Local Parameter'!$A:$ZZ,6,MATCH("load",'Local Parameter'!$1:$1,0))),"",INDEX('Local Parameter'!$A:$ZZ,6,MATCH("load",'Local Parameter'!$1:$1,0)))&lt;&gt;""),"LOAD = "&amp;""&amp;IF(ISBLANK(INDEX('Local Parameter'!$A:$ZZ,6,MATCH("load",'Local Parameter'!$1:$1,0))),"",INDEX('Local Parameter'!$A:$ZZ,6,MATCH("load",'Local Parameter'!$1:$1,0)))&amp;"","")</f>
        <v/>
      </c>
    </row>
    <row r="8">
      <c r="B8">
        <f>IF((IF(ISBLANK(INDEX('Local Parameter'!$A:$ZZ,2,MATCH("spc",'Local Parameter'!$1:$1,0))),"",INDEX('Local Parameter'!$A:$ZZ,2,MATCH("spc",'Local Parameter'!$1:$1,0)))&lt;&gt;""),"SPC = "&amp;""&amp;IF(ISBLANK(INDEX('Local Parameter'!$A:$ZZ,2,MATCH("spc",'Local Parameter'!$1:$1,0))),"",INDEX('Local Parameter'!$A:$ZZ,2,MATCH("spc",'Local Parameter'!$1:$1,0)))&amp;"","")</f>
        <v/>
      </c>
      <c r="C8">
        <f>IF((IF(ISBLANK(INDEX('Local Parameter'!$A:$ZZ,3,MATCH("spc",'Local Parameter'!$1:$1,0))),"",INDEX('Local Parameter'!$A:$ZZ,3,MATCH("spc",'Local Parameter'!$1:$1,0)))&lt;&gt;""),"SPC = "&amp;""&amp;IF(ISBLANK(INDEX('Local Parameter'!$A:$ZZ,3,MATCH("spc",'Local Parameter'!$1:$1,0))),"",INDEX('Local Parameter'!$A:$ZZ,3,MATCH("spc",'Local Parameter'!$1:$1,0)))&amp;"","")</f>
        <v/>
      </c>
      <c r="D8">
        <f>IF((IF(ISBLANK(INDEX('Local Parameter'!$A:$ZZ,4,MATCH("spc",'Local Parameter'!$1:$1,0))),"",INDEX('Local Parameter'!$A:$ZZ,4,MATCH("spc",'Local Parameter'!$1:$1,0)))&lt;&gt;""),"SPC = "&amp;""&amp;IF(ISBLANK(INDEX('Local Parameter'!$A:$ZZ,4,MATCH("spc",'Local Parameter'!$1:$1,0))),"",INDEX('Local Parameter'!$A:$ZZ,4,MATCH("spc",'Local Parameter'!$1:$1,0)))&amp;"","")</f>
        <v/>
      </c>
      <c r="E8">
        <f>IF((IF(ISBLANK(INDEX('Local Parameter'!$A:$ZZ,5,MATCH("spc",'Local Parameter'!$1:$1,0))),"",INDEX('Local Parameter'!$A:$ZZ,5,MATCH("spc",'Local Parameter'!$1:$1,0)))&lt;&gt;""),"SPC = "&amp;""&amp;IF(ISBLANK(INDEX('Local Parameter'!$A:$ZZ,5,MATCH("spc",'Local Parameter'!$1:$1,0))),"",INDEX('Local Parameter'!$A:$ZZ,5,MATCH("spc",'Local Parameter'!$1:$1,0)))&amp;"","")</f>
        <v/>
      </c>
      <c r="F8">
        <f>IF((IF(ISBLANK(INDEX('Local Parameter'!$A:$ZZ,6,MATCH("spc",'Local Parameter'!$1:$1,0))),"",INDEX('Local Parameter'!$A:$ZZ,6,MATCH("spc",'Local Parameter'!$1:$1,0)))&lt;&gt;""),"SPC = "&amp;""&amp;IF(ISBLANK(INDEX('Local Parameter'!$A:$ZZ,6,MATCH("spc",'Local Parameter'!$1:$1,0))),"",INDEX('Local Parameter'!$A:$ZZ,6,MATCH("spc",'Local Parameter'!$1:$1,0)))&amp;"","")</f>
        <v/>
      </c>
    </row>
    <row r="9">
      <c r="B9">
        <f>IF((IF(ISBLANK(INDEX('Local Parameter'!$A:$ZZ,2,MATCH("subseq",'Local Parameter'!$1:$1,0))),"",INDEX('Local Parameter'!$A:$ZZ,2,MATCH("subseq",'Local Parameter'!$1:$1,0)))&lt;&gt;""),"SUBSEQ = "&amp;""&amp;IF(ISBLANK(INDEX('Local Parameter'!$A:$ZZ,2,MATCH("subseq",'Local Parameter'!$1:$1,0))),"",INDEX('Local Parameter'!$A:$ZZ,2,MATCH("subseq",'Local Parameter'!$1:$1,0)))&amp;"","")</f>
        <v/>
      </c>
      <c r="C9">
        <f>IF((IF(ISBLANK(INDEX('Local Parameter'!$A:$ZZ,3,MATCH("subseq",'Local Parameter'!$1:$1,0))),"",INDEX('Local Parameter'!$A:$ZZ,3,MATCH("subseq",'Local Parameter'!$1:$1,0)))&lt;&gt;""),"SUBSEQ = "&amp;""&amp;IF(ISBLANK(INDEX('Local Parameter'!$A:$ZZ,3,MATCH("subseq",'Local Parameter'!$1:$1,0))),"",INDEX('Local Parameter'!$A:$ZZ,3,MATCH("subseq",'Local Parameter'!$1:$1,0)))&amp;"","")</f>
        <v/>
      </c>
      <c r="D9">
        <f>IF((IF(ISBLANK(INDEX('Local Parameter'!$A:$ZZ,4,MATCH("subseq",'Local Parameter'!$1:$1,0))),"",INDEX('Local Parameter'!$A:$ZZ,4,MATCH("subseq",'Local Parameter'!$1:$1,0)))&lt;&gt;""),"SUBSEQ = "&amp;""&amp;IF(ISBLANK(INDEX('Local Parameter'!$A:$ZZ,4,MATCH("subseq",'Local Parameter'!$1:$1,0))),"",INDEX('Local Parameter'!$A:$ZZ,4,MATCH("subseq",'Local Parameter'!$1:$1,0)))&amp;"","")</f>
        <v/>
      </c>
      <c r="E9">
        <f>IF((IF(ISBLANK(INDEX('Local Parameter'!$A:$ZZ,5,MATCH("subseq",'Local Parameter'!$1:$1,0))),"",INDEX('Local Parameter'!$A:$ZZ,5,MATCH("subseq",'Local Parameter'!$1:$1,0)))&lt;&gt;""),"SUBSEQ = "&amp;""&amp;IF(ISBLANK(INDEX('Local Parameter'!$A:$ZZ,5,MATCH("subseq",'Local Parameter'!$1:$1,0))),"",INDEX('Local Parameter'!$A:$ZZ,5,MATCH("subseq",'Local Parameter'!$1:$1,0)))&amp;"","")</f>
        <v/>
      </c>
      <c r="F9">
        <f>IF((IF(ISBLANK(INDEX('Local Parameter'!$A:$ZZ,6,MATCH("subseq",'Local Parameter'!$1:$1,0))),"",INDEX('Local Parameter'!$A:$ZZ,6,MATCH("subseq",'Local Parameter'!$1:$1,0)))&lt;&gt;""),"SUBSEQ = "&amp;""&amp;IF(ISBLANK(INDEX('Local Parameter'!$A:$ZZ,6,MATCH("subseq",'Local Parameter'!$1:$1,0))),"",INDEX('Local Parameter'!$A:$ZZ,6,MATCH("subseq",'Local Parameter'!$1:$1,0)))&amp;"","")</f>
        <v/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6"/>
  <sheetViews>
    <sheetView zoomScale="100" workbookViewId="0">
      <selection activeCell="A1" activeCellId="0" sqref="A1"/>
    </sheetView>
  </sheetViews>
  <sheetFormatPr baseColWidth="8" defaultRowHeight="15"/>
  <cols>
    <col width="160" customWidth="1" min="2" max="2"/>
  </cols>
  <sheetData>
    <row r="1"/>
    <row r="2">
      <c r="A2" s="18" t="inlineStr">
        <is>
          <t>LC1</t>
        </is>
      </c>
      <c r="B2">
        <f>""&amp;IF(ISBLANK(INDEX('Local Parameter'!$A:$ZZ,$2,MATCH("kind",'Local Parameter'!$1:$1,0))),"SUBCASE",IF(INDEX('Local Parameter'!$A:$ZZ,$2,MATCH("kind",'Local Parameter'!$1:$1,0))="","SUBCASE",INDEX('Local Parameter'!$A:$ZZ,$2,MATCH("kind",'Local Parameter'!$1:$1,0))))&amp;""&amp;" "&amp;""&amp;IF(ISBLANK(INDEX('Local Parameter'!$A:$ZZ,$2,MATCH("subcase_id",'Local Parameter'!$1:$1,0))),1,IF(INDEX('Local Parameter'!$A:$ZZ,$2,MATCH("subcase_id",'Local Parameter'!$1:$1,0))="",1,INDEX('Local Parameter'!$A:$ZZ,$2,MATCH("subcase_id",'Local Parameter'!$1:$1,0))))&amp;""&amp;" ｜ SUBTITLE="&amp;""&amp;IF(ISBLANK(INDEX('Local Parameter'!$A:$ZZ,$2,MATCH("subtitle",'Local Parameter'!$1:$1,0))),"",INDEX('Local Parameter'!$A:$ZZ,$2,MATCH("subtitle",'Local Parameter'!$1:$1,0)))&amp;""&amp;" ｜ METHOD="&amp;""&amp;IF(ISBLANK(INDEX('Local Parameter'!$A:$ZZ,$2,MATCH("method",'Local Parameter'!$1:$1,0))),"",INDEX('Local Parameter'!$A:$ZZ,$2,MATCH("method",'Local Parameter'!$1:$1,0)))&amp;""&amp;" ｜ LOAD="&amp;""&amp;IF(ISBLANK(INDEX('Local Parameter'!$A:$ZZ,$2,MATCH("load",'Local Parameter'!$1:$1,0))),"",INDEX('Local Parameter'!$A:$ZZ,$2,MATCH("load",'Local Parameter'!$1:$1,0)))&amp;""&amp;" ｜ SPC="&amp;""&amp;IF(ISBLANK(INDEX('Local Parameter'!$A:$ZZ,$2,MATCH("spc",'Local Parameter'!$1:$1,0))),"",INDEX('Local Parameter'!$A:$ZZ,$2,MATCH("spc",'Local Parameter'!$1:$1,0)))&amp;""&amp;" ｜ SUBSEQ="&amp;""&amp;IF(ISBLANK(INDEX('Local Parameter'!$A:$ZZ,$2,MATCH("subseq",'Local Parameter'!$1:$1,0))),"",INDEX('Local Parameter'!$A:$ZZ,$2,MATCH("subseq",'Local Parameter'!$1:$1,0)))&amp;""</f>
        <v/>
      </c>
    </row>
    <row r="3">
      <c r="A3" s="18" t="inlineStr">
        <is>
          <t>LC2</t>
        </is>
      </c>
      <c r="B3">
        <f>""&amp;IF(ISBLANK(INDEX('Local Parameter'!$A:$ZZ,$3,MATCH("kind",'Local Parameter'!$1:$1,0))),"SUBCASE",IF(INDEX('Local Parameter'!$A:$ZZ,$3,MATCH("kind",'Local Parameter'!$1:$1,0))="","SUBCASE",INDEX('Local Parameter'!$A:$ZZ,$3,MATCH("kind",'Local Parameter'!$1:$1,0))))&amp;""&amp;" "&amp;""&amp;IF(ISBLANK(INDEX('Local Parameter'!$A:$ZZ,$3,MATCH("subcase_id",'Local Parameter'!$1:$1,0))),1,IF(INDEX('Local Parameter'!$A:$ZZ,$3,MATCH("subcase_id",'Local Parameter'!$1:$1,0))="",1,INDEX('Local Parameter'!$A:$ZZ,$3,MATCH("subcase_id",'Local Parameter'!$1:$1,0))))&amp;""&amp;" ｜ SUBTITLE="&amp;""&amp;IF(ISBLANK(INDEX('Local Parameter'!$A:$ZZ,$3,MATCH("subtitle",'Local Parameter'!$1:$1,0))),"",INDEX('Local Parameter'!$A:$ZZ,$3,MATCH("subtitle",'Local Parameter'!$1:$1,0)))&amp;""&amp;" ｜ METHOD="&amp;""&amp;IF(ISBLANK(INDEX('Local Parameter'!$A:$ZZ,$3,MATCH("method",'Local Parameter'!$1:$1,0))),"",INDEX('Local Parameter'!$A:$ZZ,$3,MATCH("method",'Local Parameter'!$1:$1,0)))&amp;""&amp;" ｜ LOAD="&amp;""&amp;IF(ISBLANK(INDEX('Local Parameter'!$A:$ZZ,$3,MATCH("load",'Local Parameter'!$1:$1,0))),"",INDEX('Local Parameter'!$A:$ZZ,$3,MATCH("load",'Local Parameter'!$1:$1,0)))&amp;""&amp;" ｜ SPC="&amp;""&amp;IF(ISBLANK(INDEX('Local Parameter'!$A:$ZZ,$3,MATCH("spc",'Local Parameter'!$1:$1,0))),"",INDEX('Local Parameter'!$A:$ZZ,$3,MATCH("spc",'Local Parameter'!$1:$1,0)))&amp;""&amp;" ｜ SUBSEQ="&amp;""&amp;IF(ISBLANK(INDEX('Local Parameter'!$A:$ZZ,$3,MATCH("subseq",'Local Parameter'!$1:$1,0))),"",INDEX('Local Parameter'!$A:$ZZ,$3,MATCH("subseq",'Local Parameter'!$1:$1,0)))&amp;""</f>
        <v/>
      </c>
    </row>
    <row r="4">
      <c r="A4" s="18" t="inlineStr">
        <is>
          <t>LC3</t>
        </is>
      </c>
      <c r="B4">
        <f>""&amp;IF(ISBLANK(INDEX('Local Parameter'!$A:$ZZ,$4,MATCH("kind",'Local Parameter'!$1:$1,0))),"SUBCASE",IF(INDEX('Local Parameter'!$A:$ZZ,$4,MATCH("kind",'Local Parameter'!$1:$1,0))="","SUBCASE",INDEX('Local Parameter'!$A:$ZZ,$4,MATCH("kind",'Local Parameter'!$1:$1,0))))&amp;""&amp;" "&amp;""&amp;IF(ISBLANK(INDEX('Local Parameter'!$A:$ZZ,$4,MATCH("subcase_id",'Local Parameter'!$1:$1,0))),1,IF(INDEX('Local Parameter'!$A:$ZZ,$4,MATCH("subcase_id",'Local Parameter'!$1:$1,0))="",1,INDEX('Local Parameter'!$A:$ZZ,$4,MATCH("subcase_id",'Local Parameter'!$1:$1,0))))&amp;""&amp;" ｜ SUBTITLE="&amp;""&amp;IF(ISBLANK(INDEX('Local Parameter'!$A:$ZZ,$4,MATCH("subtitle",'Local Parameter'!$1:$1,0))),"",INDEX('Local Parameter'!$A:$ZZ,$4,MATCH("subtitle",'Local Parameter'!$1:$1,0)))&amp;""&amp;" ｜ METHOD="&amp;""&amp;IF(ISBLANK(INDEX('Local Parameter'!$A:$ZZ,$4,MATCH("method",'Local Parameter'!$1:$1,0))),"",INDEX('Local Parameter'!$A:$ZZ,$4,MATCH("method",'Local Parameter'!$1:$1,0)))&amp;""&amp;" ｜ LOAD="&amp;""&amp;IF(ISBLANK(INDEX('Local Parameter'!$A:$ZZ,$4,MATCH("load",'Local Parameter'!$1:$1,0))),"",INDEX('Local Parameter'!$A:$ZZ,$4,MATCH("load",'Local Parameter'!$1:$1,0)))&amp;""&amp;" ｜ SPC="&amp;""&amp;IF(ISBLANK(INDEX('Local Parameter'!$A:$ZZ,$4,MATCH("spc",'Local Parameter'!$1:$1,0))),"",INDEX('Local Parameter'!$A:$ZZ,$4,MATCH("spc",'Local Parameter'!$1:$1,0)))&amp;""&amp;" ｜ SUBSEQ="&amp;""&amp;IF(ISBLANK(INDEX('Local Parameter'!$A:$ZZ,$4,MATCH("subseq",'Local Parameter'!$1:$1,0))),"",INDEX('Local Parameter'!$A:$ZZ,$4,MATCH("subseq",'Local Parameter'!$1:$1,0)))&amp;""</f>
        <v/>
      </c>
    </row>
    <row r="5">
      <c r="A5" s="18" t="inlineStr">
        <is>
          <t>COMB4</t>
        </is>
      </c>
      <c r="B5">
        <f>""&amp;IF(ISBLANK(INDEX('Local Parameter'!$A:$ZZ,$5,MATCH("kind",'Local Parameter'!$1:$1,0))),"SUBCASE",IF(INDEX('Local Parameter'!$A:$ZZ,$5,MATCH("kind",'Local Parameter'!$1:$1,0))="","SUBCASE",INDEX('Local Parameter'!$A:$ZZ,$5,MATCH("kind",'Local Parameter'!$1:$1,0))))&amp;""&amp;" "&amp;""&amp;IF(ISBLANK(INDEX('Local Parameter'!$A:$ZZ,$5,MATCH("subcase_id",'Local Parameter'!$1:$1,0))),1,IF(INDEX('Local Parameter'!$A:$ZZ,$5,MATCH("subcase_id",'Local Parameter'!$1:$1,0))="",1,INDEX('Local Parameter'!$A:$ZZ,$5,MATCH("subcase_id",'Local Parameter'!$1:$1,0))))&amp;""&amp;" ｜ SUBTITLE="&amp;""&amp;IF(ISBLANK(INDEX('Local Parameter'!$A:$ZZ,$5,MATCH("subtitle",'Local Parameter'!$1:$1,0))),"",INDEX('Local Parameter'!$A:$ZZ,$5,MATCH("subtitle",'Local Parameter'!$1:$1,0)))&amp;""&amp;" ｜ METHOD="&amp;""&amp;IF(ISBLANK(INDEX('Local Parameter'!$A:$ZZ,$5,MATCH("method",'Local Parameter'!$1:$1,0))),"",INDEX('Local Parameter'!$A:$ZZ,$5,MATCH("method",'Local Parameter'!$1:$1,0)))&amp;""&amp;" ｜ LOAD="&amp;""&amp;IF(ISBLANK(INDEX('Local Parameter'!$A:$ZZ,$5,MATCH("load",'Local Parameter'!$1:$1,0))),"",INDEX('Local Parameter'!$A:$ZZ,$5,MATCH("load",'Local Parameter'!$1:$1,0)))&amp;""&amp;" ｜ SPC="&amp;""&amp;IF(ISBLANK(INDEX('Local Parameter'!$A:$ZZ,$5,MATCH("spc",'Local Parameter'!$1:$1,0))),"",INDEX('Local Parameter'!$A:$ZZ,$5,MATCH("spc",'Local Parameter'!$1:$1,0)))&amp;""&amp;" ｜ SUBSEQ="&amp;""&amp;IF(ISBLANK(INDEX('Local Parameter'!$A:$ZZ,$5,MATCH("subseq",'Local Parameter'!$1:$1,0))),"",INDEX('Local Parameter'!$A:$ZZ,$5,MATCH("subseq",'Local Parameter'!$1:$1,0)))&amp;""</f>
        <v/>
      </c>
    </row>
    <row r="6">
      <c r="A6" s="18" t="inlineStr">
        <is>
          <t>LC5</t>
        </is>
      </c>
      <c r="B6">
        <f>""&amp;IF(ISBLANK(INDEX('Local Parameter'!$A:$ZZ,$6,MATCH("kind",'Local Parameter'!$1:$1,0))),"SUBCASE",IF(INDEX('Local Parameter'!$A:$ZZ,$6,MATCH("kind",'Local Parameter'!$1:$1,0))="","SUBCASE",INDEX('Local Parameter'!$A:$ZZ,$6,MATCH("kind",'Local Parameter'!$1:$1,0))))&amp;""&amp;" "&amp;""&amp;IF(ISBLANK(INDEX('Local Parameter'!$A:$ZZ,$6,MATCH("subcase_id",'Local Parameter'!$1:$1,0))),1,IF(INDEX('Local Parameter'!$A:$ZZ,$6,MATCH("subcase_id",'Local Parameter'!$1:$1,0))="",1,INDEX('Local Parameter'!$A:$ZZ,$6,MATCH("subcase_id",'Local Parameter'!$1:$1,0))))&amp;""&amp;" ｜ SUBTITLE="&amp;""&amp;IF(ISBLANK(INDEX('Local Parameter'!$A:$ZZ,$6,MATCH("subtitle",'Local Parameter'!$1:$1,0))),"",INDEX('Local Parameter'!$A:$ZZ,$6,MATCH("subtitle",'Local Parameter'!$1:$1,0)))&amp;""&amp;" ｜ METHOD="&amp;""&amp;IF(ISBLANK(INDEX('Local Parameter'!$A:$ZZ,$6,MATCH("method",'Local Parameter'!$1:$1,0))),"",INDEX('Local Parameter'!$A:$ZZ,$6,MATCH("method",'Local Parameter'!$1:$1,0)))&amp;""&amp;" ｜ LOAD="&amp;""&amp;IF(ISBLANK(INDEX('Local Parameter'!$A:$ZZ,$6,MATCH("load",'Local Parameter'!$1:$1,0))),"",INDEX('Local Parameter'!$A:$ZZ,$6,MATCH("load",'Local Parameter'!$1:$1,0)))&amp;""&amp;" ｜ SPC="&amp;""&amp;IF(ISBLANK(INDEX('Local Parameter'!$A:$ZZ,$6,MATCH("spc",'Local Parameter'!$1:$1,0))),"",INDEX('Local Parameter'!$A:$ZZ,$6,MATCH("spc",'Local Parameter'!$1:$1,0)))&amp;""&amp;" ｜ SUBSEQ="&amp;""&amp;IF(ISBLANK(INDEX('Local Parameter'!$A:$ZZ,$6,MATCH("subseq",'Local Parameter'!$1:$1,0))),"",INDEX('Local Parameter'!$A:$ZZ,$6,MATCH("subseq",'Local Parameter'!$1:$1,0)))&amp;""</f>
        <v/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34"/>
  <sheetViews>
    <sheetView zoomScale="100" workbookViewId="0">
      <selection activeCell="A1" activeCellId="0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case_control</t>
        </is>
      </c>
    </row>
    <row r="3">
      <c r="A3" t="inlineStr">
        <is>
          <t>output_sheet</t>
        </is>
      </c>
      <c r="B3" t="inlineStr">
        <is>
          <t>Case Control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cc_{{ seq }}_{{ case_name }}.inc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NASTRAN Case Control 子工况块（每个子工况一个 .inc 片段）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{{ kind }} {{ subcase_id }}{% if label %}</t>
        </is>
      </c>
    </row>
    <row r="11">
      <c r="A11" t="n">
        <v>2</v>
      </c>
      <c r="B11" t="inlineStr">
        <is>
          <t>LABEL = {{ label }}{% endif %}{% if subtitle %}</t>
        </is>
      </c>
    </row>
    <row r="12">
      <c r="A12" t="n">
        <v>3</v>
      </c>
      <c r="B12" t="inlineStr">
        <is>
          <t>SUBTITLE = {{ subtitle }}{% endif %}{% if analysis %}</t>
        </is>
      </c>
    </row>
    <row r="13">
      <c r="A13" t="n">
        <v>4</v>
      </c>
      <c r="B13" t="inlineStr">
        <is>
          <t>ANALYSIS = {{ analysis }}{% endif %}{% if method %}</t>
        </is>
      </c>
    </row>
    <row r="14">
      <c r="A14" t="n">
        <v>5</v>
      </c>
      <c r="B14" t="inlineStr">
        <is>
          <t>METHOD = {{ method }}{% endif %}{% if load %}</t>
        </is>
      </c>
    </row>
    <row r="15">
      <c r="A15" t="n">
        <v>6</v>
      </c>
      <c r="B15" t="inlineStr">
        <is>
          <t>LOAD = {{ load }}{% endif %}{% if spc %}</t>
        </is>
      </c>
    </row>
    <row r="16">
      <c r="A16" t="n">
        <v>7</v>
      </c>
      <c r="B16" t="inlineStr">
        <is>
          <t>SPC = {{ spc }}{% endif %}{% if subseq %}</t>
        </is>
      </c>
    </row>
    <row r="17">
      <c r="A17" t="n">
        <v>8</v>
      </c>
      <c r="B17" t="inlineStr">
        <is>
          <t>SUBSEQ = {{ subseq }}{% endif %}</t>
        </is>
      </c>
    </row>
    <row r="18"/>
    <row r="19">
      <c r="A19" s="12" t="inlineStr">
        <is>
          <t>### cc_summary</t>
        </is>
      </c>
    </row>
    <row r="20">
      <c r="A20" t="inlineStr">
        <is>
          <t>output_sheet</t>
        </is>
      </c>
      <c r="B20" t="inlineStr">
        <is>
          <t>Summary</t>
        </is>
      </c>
    </row>
    <row r="21">
      <c r="A21" t="inlineStr">
        <is>
          <t>start_cell</t>
        </is>
      </c>
      <c r="B21" t="inlineStr">
        <is>
          <t>B2</t>
        </is>
      </c>
    </row>
    <row r="22">
      <c r="A22" t="inlineStr">
        <is>
          <t>direction</t>
        </is>
      </c>
      <c r="B22" t="inlineStr">
        <is>
          <t>vertical</t>
        </is>
      </c>
    </row>
    <row r="23">
      <c r="A23" t="inlineStr">
        <is>
          <t>filename</t>
        </is>
      </c>
      <c r="B23" t="inlineStr">
        <is>
          <t>cc_summary_{{ seq }}_{{ case_name }}.md</t>
        </is>
      </c>
    </row>
    <row r="24">
      <c r="A24" t="inlineStr">
        <is>
          <t>extension</t>
        </is>
      </c>
      <c r="B24" t="inlineStr">
        <is>
          <t>.txt</t>
        </is>
      </c>
    </row>
    <row r="25">
      <c r="A25" t="inlineStr">
        <is>
          <t>description</t>
        </is>
      </c>
      <c r="B25" t="inlineStr">
        <is>
          <t>工况控制语句一览（一行一个子工况）</t>
        </is>
      </c>
    </row>
    <row r="26">
      <c r="A26" s="12" t="inlineStr">
        <is>
          <t>code ↓</t>
        </is>
      </c>
    </row>
    <row r="27">
      <c r="A27" t="n">
        <v>1</v>
      </c>
      <c r="B27" t="inlineStr">
        <is>
          <t>{{ kind }} {{ subcase_id }} ｜ SUBTITLE={{ subtitle }} ｜ METHOD={{ method }} ｜ LOAD={{ load }} ｜ SPC={{ spc }} ｜ SUBSEQ={{ subseq }}</t>
        </is>
      </c>
    </row>
    <row r="28"/>
    <row r="29">
      <c r="A29" s="12" t="inlineStr">
        <is>
          <t>## spreadsheet-codegen-meta</t>
        </is>
      </c>
    </row>
    <row r="30">
      <c r="A30" t="inlineStr">
        <is>
          <t>时间</t>
        </is>
      </c>
      <c r="B30" t="inlineStr">
        <is>
          <t>2026-09-27 17:00:43</t>
        </is>
      </c>
    </row>
    <row r="31">
      <c r="A31" t="inlineStr">
        <is>
          <t>输出指纹</t>
        </is>
      </c>
      <c r="B31" t="inlineStr">
        <is>
          <t>521a09ab1380</t>
        </is>
      </c>
    </row>
    <row r="32">
      <c r="A32" t="inlineStr">
        <is>
          <t>参数指纹</t>
        </is>
      </c>
      <c r="B32" t="inlineStr">
        <is>
          <t>893a98e720ab</t>
        </is>
      </c>
    </row>
    <row r="33">
      <c r="A33" t="inlineStr">
        <is>
          <t>case 数</t>
        </is>
      </c>
      <c r="B33" t="inlineStr">
        <is>
          <t>5</t>
        </is>
      </c>
    </row>
    <row r="34">
      <c r="A34" t="inlineStr">
        <is>
          <t>cases</t>
        </is>
      </c>
      <c r="B34" t="inlineStr">
        <is>
          <t>LC1, LC2, LC3, COMB4, LC5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2026-09-27T08:06:14Z</dcterms:created>
  <dcterms:modified xsi:type="dcterms:W3CDTF">2026-09-30T12:32:39Z</dcterms:modified>
  <cp:revision>1</cp:revision>
</cp:coreProperties>
</file>